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oman_table" sheetId="1" state="visible" r:id="rId3"/>
    <sheet name="roman_table_2" sheetId="2" state="visible" r:id="rId4"/>
    <sheet name="long_press_shift(JP)" sheetId="3" state="visible" r:id="rId5"/>
    <sheet name="long_press_shift(US)" sheetId="4" state="visible" r:id="rId6"/>
    <sheet name="md770-jp" sheetId="5" state="visible" r:id="rId7"/>
    <sheet name="other(JP)" sheetId="6" state="visible" r:id="rId8"/>
    <sheet name="rome freq" sheetId="7" state="visible" r:id="rId9"/>
    <sheet name="roman_layout" sheetId="8" state="visible" r:id="rId10"/>
    <sheet name="english freq" sheetId="9" state="visible" r:id="rId11"/>
    <sheet name="Sheet10" sheetId="10" state="visible" r:id="rId12"/>
    <sheet name="Sheet10_2" sheetId="11" state="visible" r:id="rId13"/>
    <sheet name="Sheet12" sheetId="12" state="visible" r:id="rId14"/>
    <sheet name="Sheet13" sheetId="13" state="visible" r:id="rId1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<sst xmlns="http://schemas.openxmlformats.org/spreadsheetml/2006/main" count="4892" uniqueCount="974">
  <si>
    <t xml:space="preserve">QWERTY</t>
  </si>
  <si>
    <t xml:space="preserve">a</t>
  </si>
  <si>
    <t xml:space="preserve">i</t>
  </si>
  <si>
    <t xml:space="preserve">;</t>
  </si>
  <si>
    <t xml:space="preserve">k</t>
  </si>
  <si>
    <t xml:space="preserve">l</t>
  </si>
  <si>
    <t xml:space="preserve">w</t>
  </si>
  <si>
    <t xml:space="preserve">z</t>
  </si>
  <si>
    <t xml:space="preserve">s</t>
  </si>
  <si>
    <t xml:space="preserve">v</t>
  </si>
  <si>
    <t xml:space="preserve">q</t>
  </si>
  <si>
    <t xml:space="preserve">e</t>
  </si>
  <si>
    <t xml:space="preserve">j</t>
  </si>
  <si>
    <t xml:space="preserve">n</t>
  </si>
  <si>
    <t xml:space="preserve">u</t>
  </si>
  <si>
    <t xml:space="preserve">m</t>
  </si>
  <si>
    <t xml:space="preserve">h</t>
  </si>
  <si>
    <t xml:space="preserve">2連打</t>
  </si>
  <si>
    <t xml:space="preserve">３連打</t>
  </si>
  <si>
    <t xml:space="preserve">gw</t>
  </si>
  <si>
    <t xml:space="preserve">gz</t>
  </si>
  <si>
    <t xml:space="preserve">gv</t>
  </si>
  <si>
    <t xml:space="preserve">gq</t>
  </si>
  <si>
    <t xml:space="preserve">gj</t>
  </si>
  <si>
    <t xml:space="preserve">gu</t>
  </si>
  <si>
    <t xml:space="preserve">gm</t>
  </si>
  <si>
    <t xml:space="preserve">gh</t>
  </si>
  <si>
    <t xml:space="preserve">ya</t>
  </si>
  <si>
    <t xml:space="preserve">yi</t>
  </si>
  <si>
    <t xml:space="preserve">yu</t>
  </si>
  <si>
    <t xml:space="preserve">ye</t>
  </si>
  <si>
    <t xml:space="preserve">yo</t>
  </si>
  <si>
    <t xml:space="preserve">ra</t>
  </si>
  <si>
    <t xml:space="preserve">ri</t>
  </si>
  <si>
    <t xml:space="preserve">ru</t>
  </si>
  <si>
    <t xml:space="preserve">re</t>
  </si>
  <si>
    <t xml:space="preserve">ro</t>
  </si>
  <si>
    <t xml:space="preserve">rw</t>
  </si>
  <si>
    <t xml:space="preserve">rz</t>
  </si>
  <si>
    <t xml:space="preserve">rq</t>
  </si>
  <si>
    <t xml:space="preserve">rn</t>
  </si>
  <si>
    <t xml:space="preserve">rf</t>
  </si>
  <si>
    <t xml:space="preserve">rm</t>
  </si>
  <si>
    <t xml:space="preserve">rh</t>
  </si>
  <si>
    <t xml:space="preserve">FMIX15</t>
  </si>
  <si>
    <t xml:space="preserve">o</t>
  </si>
  <si>
    <t xml:space="preserve">p</t>
  </si>
  <si>
    <t xml:space="preserve">f</t>
  </si>
  <si>
    <t xml:space="preserve">あ</t>
  </si>
  <si>
    <t xml:space="preserve">い</t>
  </si>
  <si>
    <t xml:space="preserve">う</t>
  </si>
  <si>
    <t xml:space="preserve">え</t>
  </si>
  <si>
    <t xml:space="preserve">お</t>
  </si>
  <si>
    <t xml:space="preserve">R</t>
  </si>
  <si>
    <t xml:space="preserve">か</t>
  </si>
  <si>
    <t xml:space="preserve">き</t>
  </si>
  <si>
    <t xml:space="preserve">く</t>
  </si>
  <si>
    <t xml:space="preserve">け</t>
  </si>
  <si>
    <t xml:space="preserve">こ</t>
  </si>
  <si>
    <t xml:space="preserve">こう</t>
  </si>
  <si>
    <t xml:space="preserve">かい</t>
  </si>
  <si>
    <t xml:space="preserve">けい</t>
  </si>
  <si>
    <t xml:space="preserve">くう</t>
  </si>
  <si>
    <t xml:space="preserve">かん</t>
  </si>
  <si>
    <t xml:space="preserve">っｋ</t>
  </si>
  <si>
    <t xml:space="preserve">くん</t>
  </si>
  <si>
    <t xml:space="preserve">けん</t>
  </si>
  <si>
    <t xml:space="preserve">こん</t>
  </si>
  <si>
    <t xml:space="preserve">きん</t>
  </si>
  <si>
    <t xml:space="preserve">きゃ</t>
  </si>
  <si>
    <t xml:space="preserve">きゅ</t>
  </si>
  <si>
    <t xml:space="preserve">きょ</t>
  </si>
  <si>
    <t xml:space="preserve">きぇ</t>
  </si>
  <si>
    <t xml:space="preserve">きょう</t>
  </si>
  <si>
    <t xml:space="preserve">きゃい</t>
  </si>
  <si>
    <t xml:space="preserve">きゃん</t>
  </si>
  <si>
    <t xml:space="preserve">きゅん</t>
  </si>
  <si>
    <t xml:space="preserve">きょん</t>
  </si>
  <si>
    <t xml:space="preserve">L</t>
  </si>
  <si>
    <t xml:space="preserve">さ</t>
  </si>
  <si>
    <t xml:space="preserve">し</t>
  </si>
  <si>
    <t xml:space="preserve">す</t>
  </si>
  <si>
    <t xml:space="preserve">せ</t>
  </si>
  <si>
    <t xml:space="preserve">そ</t>
  </si>
  <si>
    <t xml:space="preserve">そう</t>
  </si>
  <si>
    <t xml:space="preserve">さい</t>
  </si>
  <si>
    <t xml:space="preserve">っｓ</t>
  </si>
  <si>
    <t xml:space="preserve">せい</t>
  </si>
  <si>
    <t xml:space="preserve">すう</t>
  </si>
  <si>
    <t xml:space="preserve">さん</t>
  </si>
  <si>
    <t xml:space="preserve">しん</t>
  </si>
  <si>
    <t xml:space="preserve">すん</t>
  </si>
  <si>
    <t xml:space="preserve">せん</t>
  </si>
  <si>
    <t xml:space="preserve">そん</t>
  </si>
  <si>
    <t xml:space="preserve">しゃ</t>
  </si>
  <si>
    <t xml:space="preserve">しゅ</t>
  </si>
  <si>
    <t xml:space="preserve">しょ</t>
  </si>
  <si>
    <t xml:space="preserve">しぇ</t>
  </si>
  <si>
    <t xml:space="preserve">しょう</t>
  </si>
  <si>
    <t xml:space="preserve">しゃい</t>
  </si>
  <si>
    <t xml:space="preserve">しぇい</t>
  </si>
  <si>
    <t xml:space="preserve">しゃん</t>
  </si>
  <si>
    <t xml:space="preserve">しゅん</t>
  </si>
  <si>
    <t xml:space="preserve">しぇん</t>
  </si>
  <si>
    <t xml:space="preserve">しょん</t>
  </si>
  <si>
    <t xml:space="preserve">t</t>
  </si>
  <si>
    <t xml:space="preserve">た</t>
  </si>
  <si>
    <t xml:space="preserve">ち</t>
  </si>
  <si>
    <t xml:space="preserve">つ</t>
  </si>
  <si>
    <t xml:space="preserve">て</t>
  </si>
  <si>
    <t xml:space="preserve">と</t>
  </si>
  <si>
    <t xml:space="preserve">とう</t>
  </si>
  <si>
    <t xml:space="preserve">たい</t>
  </si>
  <si>
    <t xml:space="preserve">てい</t>
  </si>
  <si>
    <t xml:space="preserve">つう</t>
  </si>
  <si>
    <t xml:space="preserve">たん</t>
  </si>
  <si>
    <t xml:space="preserve">ちん</t>
  </si>
  <si>
    <t xml:space="preserve">つん</t>
  </si>
  <si>
    <t xml:space="preserve">てん</t>
  </si>
  <si>
    <t xml:space="preserve">とん</t>
  </si>
  <si>
    <t xml:space="preserve">っt</t>
  </si>
  <si>
    <t xml:space="preserve">ちゃ</t>
  </si>
  <si>
    <t xml:space="preserve">ちょ</t>
  </si>
  <si>
    <t xml:space="preserve">ちゅ</t>
  </si>
  <si>
    <t xml:space="preserve">ちぇ</t>
  </si>
  <si>
    <t xml:space="preserve">ちょう</t>
  </si>
  <si>
    <t xml:space="preserve">ちゃい</t>
  </si>
  <si>
    <t xml:space="preserve">ちゃん</t>
  </si>
  <si>
    <t xml:space="preserve">ちゅん</t>
  </si>
  <si>
    <t xml:space="preserve">ちぇん</t>
  </si>
  <si>
    <t xml:space="preserve">ちょん</t>
  </si>
  <si>
    <t xml:space="preserve">な</t>
  </si>
  <si>
    <t xml:space="preserve">に</t>
  </si>
  <si>
    <t xml:space="preserve">ぬ</t>
  </si>
  <si>
    <t xml:space="preserve">ね</t>
  </si>
  <si>
    <t xml:space="preserve">の</t>
  </si>
  <si>
    <t xml:space="preserve">のう</t>
  </si>
  <si>
    <t xml:space="preserve">ない</t>
  </si>
  <si>
    <t xml:space="preserve">ねい</t>
  </si>
  <si>
    <t xml:space="preserve">ぬう</t>
  </si>
  <si>
    <t xml:space="preserve">ん</t>
  </si>
  <si>
    <t xml:space="preserve">にん</t>
  </si>
  <si>
    <t xml:space="preserve">ぬん</t>
  </si>
  <si>
    <t xml:space="preserve">ねん</t>
  </si>
  <si>
    <t xml:space="preserve">のん</t>
  </si>
  <si>
    <t xml:space="preserve">にゃ</t>
  </si>
  <si>
    <t xml:space="preserve">にゅ</t>
  </si>
  <si>
    <t xml:space="preserve">にぇ</t>
  </si>
  <si>
    <t xml:space="preserve">にょ</t>
  </si>
  <si>
    <t xml:space="preserve">にょう</t>
  </si>
  <si>
    <t xml:space="preserve">にゃい</t>
  </si>
  <si>
    <t xml:space="preserve">にゅう</t>
  </si>
  <si>
    <t xml:space="preserve">にゃん</t>
  </si>
  <si>
    <t xml:space="preserve">は</t>
  </si>
  <si>
    <t xml:space="preserve">ひ</t>
  </si>
  <si>
    <t xml:space="preserve">ふ</t>
  </si>
  <si>
    <t xml:space="preserve">へ</t>
  </si>
  <si>
    <t xml:space="preserve">ほ</t>
  </si>
  <si>
    <t xml:space="preserve">ほう</t>
  </si>
  <si>
    <t xml:space="preserve">はい</t>
  </si>
  <si>
    <t xml:space="preserve">へい</t>
  </si>
  <si>
    <t xml:space="preserve">ふう</t>
  </si>
  <si>
    <t xml:space="preserve">はん</t>
  </si>
  <si>
    <t xml:space="preserve">ひん</t>
  </si>
  <si>
    <t xml:space="preserve">ふん</t>
  </si>
  <si>
    <t xml:space="preserve">へん</t>
  </si>
  <si>
    <t xml:space="preserve">っｈ</t>
  </si>
  <si>
    <t xml:space="preserve">ほん</t>
  </si>
  <si>
    <t xml:space="preserve">ひゃ</t>
  </si>
  <si>
    <t xml:space="preserve">ひゅ</t>
  </si>
  <si>
    <t xml:space="preserve">ひょ</t>
  </si>
  <si>
    <t xml:space="preserve">ひぇ</t>
  </si>
  <si>
    <t xml:space="preserve">ひょう</t>
  </si>
  <si>
    <t xml:space="preserve">ひゃい</t>
  </si>
  <si>
    <t xml:space="preserve">ひょん</t>
  </si>
  <si>
    <t xml:space="preserve">ひゅん</t>
  </si>
  <si>
    <t xml:space="preserve">ま</t>
  </si>
  <si>
    <t xml:space="preserve">み</t>
  </si>
  <si>
    <t xml:space="preserve">む</t>
  </si>
  <si>
    <t xml:space="preserve">め</t>
  </si>
  <si>
    <t xml:space="preserve">も</t>
  </si>
  <si>
    <t xml:space="preserve">もう</t>
  </si>
  <si>
    <t xml:space="preserve">まい</t>
  </si>
  <si>
    <t xml:space="preserve">めい</t>
  </si>
  <si>
    <t xml:space="preserve">むう</t>
  </si>
  <si>
    <t xml:space="preserve">まん</t>
  </si>
  <si>
    <t xml:space="preserve">もん</t>
  </si>
  <si>
    <t xml:space="preserve">むん</t>
  </si>
  <si>
    <t xml:space="preserve">めん</t>
  </si>
  <si>
    <t xml:space="preserve">みゃ</t>
  </si>
  <si>
    <t xml:space="preserve">みゅ</t>
  </si>
  <si>
    <t xml:space="preserve">みょ</t>
  </si>
  <si>
    <t xml:space="preserve">みぇ</t>
  </si>
  <si>
    <t xml:space="preserve">みょう</t>
  </si>
  <si>
    <t xml:space="preserve">みゃい</t>
  </si>
  <si>
    <t xml:space="preserve">みゃん</t>
  </si>
  <si>
    <t xml:space="preserve">みゅん</t>
  </si>
  <si>
    <t xml:space="preserve">みょん</t>
  </si>
  <si>
    <t xml:space="preserve">y</t>
  </si>
  <si>
    <t xml:space="preserve">や</t>
  </si>
  <si>
    <t xml:space="preserve">ゆ</t>
  </si>
  <si>
    <t xml:space="preserve">よ</t>
  </si>
  <si>
    <t xml:space="preserve">よう</t>
  </si>
  <si>
    <t xml:space="preserve">やい</t>
  </si>
  <si>
    <t xml:space="preserve">ゆう</t>
  </si>
  <si>
    <t xml:space="preserve">やん</t>
  </si>
  <si>
    <t xml:space="preserve">ゆん</t>
  </si>
  <si>
    <t xml:space="preserve">よん</t>
  </si>
  <si>
    <t xml:space="preserve">っｙ</t>
  </si>
  <si>
    <t xml:space="preserve">r</t>
  </si>
  <si>
    <t xml:space="preserve">ら</t>
  </si>
  <si>
    <t xml:space="preserve">り</t>
  </si>
  <si>
    <t xml:space="preserve">る</t>
  </si>
  <si>
    <t xml:space="preserve">れ</t>
  </si>
  <si>
    <t xml:space="preserve">ろ</t>
  </si>
  <si>
    <t xml:space="preserve">ろう</t>
  </si>
  <si>
    <t xml:space="preserve">らい</t>
  </si>
  <si>
    <t xml:space="preserve">れい</t>
  </si>
  <si>
    <t xml:space="preserve">るう</t>
  </si>
  <si>
    <t xml:space="preserve">らん</t>
  </si>
  <si>
    <t xml:space="preserve">りん</t>
  </si>
  <si>
    <t xml:space="preserve">るん</t>
  </si>
  <si>
    <t xml:space="preserve">れん</t>
  </si>
  <si>
    <t xml:space="preserve">ろん</t>
  </si>
  <si>
    <t xml:space="preserve">りゃ</t>
  </si>
  <si>
    <t xml:space="preserve">りゅ</t>
  </si>
  <si>
    <t xml:space="preserve">りょ</t>
  </si>
  <si>
    <t xml:space="preserve">りぇ</t>
  </si>
  <si>
    <t xml:space="preserve">りょう</t>
  </si>
  <si>
    <t xml:space="preserve">りゃい</t>
  </si>
  <si>
    <t xml:space="preserve">りゃん</t>
  </si>
  <si>
    <t xml:space="preserve">りゅん</t>
  </si>
  <si>
    <t xml:space="preserve">わ</t>
  </si>
  <si>
    <t xml:space="preserve">うぃ</t>
  </si>
  <si>
    <t xml:space="preserve">うぇ</t>
  </si>
  <si>
    <t xml:space="preserve">を</t>
  </si>
  <si>
    <t xml:space="preserve">おう</t>
  </si>
  <si>
    <t xml:space="preserve">わい</t>
  </si>
  <si>
    <t xml:space="preserve">うぇい</t>
  </si>
  <si>
    <t xml:space="preserve">わん</t>
  </si>
  <si>
    <t xml:space="preserve">うぃん</t>
  </si>
  <si>
    <t xml:space="preserve">うぇん</t>
  </si>
  <si>
    <t xml:space="preserve">をん</t>
  </si>
  <si>
    <t xml:space="preserve">g</t>
  </si>
  <si>
    <t xml:space="preserve">が</t>
  </si>
  <si>
    <t xml:space="preserve">ぎ</t>
  </si>
  <si>
    <t xml:space="preserve">ぐ</t>
  </si>
  <si>
    <t xml:space="preserve">ご</t>
  </si>
  <si>
    <t xml:space="preserve">ごう</t>
  </si>
  <si>
    <t xml:space="preserve">がい</t>
  </si>
  <si>
    <t xml:space="preserve">げい</t>
  </si>
  <si>
    <t xml:space="preserve">ぐう</t>
  </si>
  <si>
    <t xml:space="preserve">がん</t>
  </si>
  <si>
    <t xml:space="preserve">ぎん</t>
  </si>
  <si>
    <t xml:space="preserve">ぐん</t>
  </si>
  <si>
    <t xml:space="preserve">げん</t>
  </si>
  <si>
    <t xml:space="preserve">っｇ</t>
  </si>
  <si>
    <t xml:space="preserve">ぎゃ</t>
  </si>
  <si>
    <t xml:space="preserve">ぎゅ</t>
  </si>
  <si>
    <t xml:space="preserve">ぎょ</t>
  </si>
  <si>
    <t xml:space="preserve">ざ</t>
  </si>
  <si>
    <t xml:space="preserve">じ</t>
  </si>
  <si>
    <t xml:space="preserve">ず</t>
  </si>
  <si>
    <t xml:space="preserve">ぜ</t>
  </si>
  <si>
    <t xml:space="preserve">ぞ</t>
  </si>
  <si>
    <t xml:space="preserve">ぞう</t>
  </si>
  <si>
    <t xml:space="preserve">っｚ</t>
  </si>
  <si>
    <t xml:space="preserve">ざい</t>
  </si>
  <si>
    <t xml:space="preserve">ぜい</t>
  </si>
  <si>
    <t xml:space="preserve">ずう</t>
  </si>
  <si>
    <t xml:space="preserve">ざん</t>
  </si>
  <si>
    <t xml:space="preserve">じん</t>
  </si>
  <si>
    <t xml:space="preserve">ずん</t>
  </si>
  <si>
    <t xml:space="preserve">ぜん</t>
  </si>
  <si>
    <t xml:space="preserve">ぞん</t>
  </si>
  <si>
    <t xml:space="preserve">じゃ</t>
  </si>
  <si>
    <t xml:space="preserve">じゅ</t>
  </si>
  <si>
    <t xml:space="preserve">じょ</t>
  </si>
  <si>
    <t xml:space="preserve">じぇ</t>
  </si>
  <si>
    <t xml:space="preserve">じょう</t>
  </si>
  <si>
    <t xml:space="preserve">じゃい</t>
  </si>
  <si>
    <t xml:space="preserve"> </t>
  </si>
  <si>
    <t xml:space="preserve">じゃん</t>
  </si>
  <si>
    <t xml:space="preserve">じゅん</t>
  </si>
  <si>
    <t xml:space="preserve">d</t>
  </si>
  <si>
    <t xml:space="preserve">だ</t>
  </si>
  <si>
    <t xml:space="preserve">ぢ</t>
  </si>
  <si>
    <t xml:space="preserve">づ</t>
  </si>
  <si>
    <t xml:space="preserve">で</t>
  </si>
  <si>
    <t xml:space="preserve">ど</t>
  </si>
  <si>
    <t xml:space="preserve">どう</t>
  </si>
  <si>
    <t xml:space="preserve">だい</t>
  </si>
  <si>
    <t xml:space="preserve">でい</t>
  </si>
  <si>
    <t xml:space="preserve">だん</t>
  </si>
  <si>
    <t xml:space="preserve">ぢん</t>
  </si>
  <si>
    <t xml:space="preserve">づん</t>
  </si>
  <si>
    <t xml:space="preserve">でん</t>
  </si>
  <si>
    <t xml:space="preserve">どん</t>
  </si>
  <si>
    <t xml:space="preserve">っｄ</t>
  </si>
  <si>
    <t xml:space="preserve">ぢゃ</t>
  </si>
  <si>
    <t xml:space="preserve">ぢゅ</t>
  </si>
  <si>
    <t xml:space="preserve">ぢょ</t>
  </si>
  <si>
    <t xml:space="preserve">ぢょう</t>
  </si>
  <si>
    <t xml:space="preserve">ぢゃい</t>
  </si>
  <si>
    <t xml:space="preserve">ぢゅう</t>
  </si>
  <si>
    <t xml:space="preserve">ぢゃん</t>
  </si>
  <si>
    <t xml:space="preserve">ぢゅん</t>
  </si>
  <si>
    <t xml:space="preserve">b</t>
  </si>
  <si>
    <t xml:space="preserve">ば</t>
  </si>
  <si>
    <t xml:space="preserve">び</t>
  </si>
  <si>
    <t xml:space="preserve">ぶ</t>
  </si>
  <si>
    <t xml:space="preserve">べ</t>
  </si>
  <si>
    <t xml:space="preserve">ぼ</t>
  </si>
  <si>
    <t xml:space="preserve">ぼう</t>
  </si>
  <si>
    <t xml:space="preserve">ばい</t>
  </si>
  <si>
    <t xml:space="preserve">べい</t>
  </si>
  <si>
    <t xml:space="preserve">ぶう</t>
  </si>
  <si>
    <t xml:space="preserve">ばん</t>
  </si>
  <si>
    <t xml:space="preserve">びん</t>
  </si>
  <si>
    <t xml:space="preserve">ぶん</t>
  </si>
  <si>
    <t xml:space="preserve">べん</t>
  </si>
  <si>
    <t xml:space="preserve">ぼん</t>
  </si>
  <si>
    <t xml:space="preserve">っｂ</t>
  </si>
  <si>
    <t xml:space="preserve">びゃ</t>
  </si>
  <si>
    <t xml:space="preserve">びゅ</t>
  </si>
  <si>
    <t xml:space="preserve">びょ</t>
  </si>
  <si>
    <t xml:space="preserve">ぴゃ</t>
  </si>
  <si>
    <t xml:space="preserve">ぴゅ</t>
  </si>
  <si>
    <t xml:space="preserve">ぴぇ</t>
  </si>
  <si>
    <t xml:space="preserve">ぴょ</t>
  </si>
  <si>
    <t xml:space="preserve">びょう</t>
  </si>
  <si>
    <t xml:space="preserve">びゃい</t>
  </si>
  <si>
    <t xml:space="preserve">びゃん</t>
  </si>
  <si>
    <t xml:space="preserve">びゅん</t>
  </si>
  <si>
    <t xml:space="preserve">ぱ</t>
  </si>
  <si>
    <t xml:space="preserve">ぴ</t>
  </si>
  <si>
    <t xml:space="preserve">ぷ</t>
  </si>
  <si>
    <t xml:space="preserve">ぺ</t>
  </si>
  <si>
    <t xml:space="preserve">ぽ</t>
  </si>
  <si>
    <t xml:space="preserve">ぽう</t>
  </si>
  <si>
    <t xml:space="preserve">ぱい</t>
  </si>
  <si>
    <t xml:space="preserve">ぺい</t>
  </si>
  <si>
    <t xml:space="preserve">ぷう</t>
  </si>
  <si>
    <t xml:space="preserve">ぱん</t>
  </si>
  <si>
    <t xml:space="preserve">っｐ</t>
  </si>
  <si>
    <t xml:space="preserve">ぷん</t>
  </si>
  <si>
    <t xml:space="preserve">ぺん</t>
  </si>
  <si>
    <t xml:space="preserve">ぽん</t>
  </si>
  <si>
    <t xml:space="preserve">ぴん</t>
  </si>
  <si>
    <t xml:space="preserve">ぴょう</t>
  </si>
  <si>
    <t xml:space="preserve">ぴゃい</t>
  </si>
  <si>
    <t xml:space="preserve">ぴゃん</t>
  </si>
  <si>
    <t xml:space="preserve">ぴゅん</t>
  </si>
  <si>
    <t xml:space="preserve">c</t>
  </si>
  <si>
    <t xml:space="preserve">っｃ</t>
  </si>
  <si>
    <t xml:space="preserve">きゅう</t>
  </si>
  <si>
    <t xml:space="preserve">じぇい</t>
  </si>
  <si>
    <t xml:space="preserve">じゅう</t>
  </si>
  <si>
    <t xml:space="preserve">じぇん</t>
  </si>
  <si>
    <t xml:space="preserve">じょん</t>
  </si>
  <si>
    <t xml:space="preserve">ゔぁ</t>
  </si>
  <si>
    <t xml:space="preserve">ゔぃ</t>
  </si>
  <si>
    <t xml:space="preserve">ゔ</t>
  </si>
  <si>
    <t xml:space="preserve">ゔぇ</t>
  </si>
  <si>
    <t xml:space="preserve">ゔぉ</t>
  </si>
  <si>
    <t xml:space="preserve">ゔぉう</t>
  </si>
  <si>
    <t xml:space="preserve">ゔぁい</t>
  </si>
  <si>
    <t xml:space="preserve">ゔぇい</t>
  </si>
  <si>
    <t xml:space="preserve">ゔぁん</t>
  </si>
  <si>
    <t xml:space="preserve">ゔぃん</t>
  </si>
  <si>
    <t xml:space="preserve">ゔん</t>
  </si>
  <si>
    <t xml:space="preserve">ゔぇん</t>
  </si>
  <si>
    <t xml:space="preserve">ゔぉん</t>
  </si>
  <si>
    <t xml:space="preserve">ふぁ</t>
  </si>
  <si>
    <t xml:space="preserve">ふぃ</t>
  </si>
  <si>
    <t xml:space="preserve">ふぇ</t>
  </si>
  <si>
    <t xml:space="preserve">ふぉ</t>
  </si>
  <si>
    <t xml:space="preserve">ふぉう</t>
  </si>
  <si>
    <t xml:space="preserve">ふぁい</t>
  </si>
  <si>
    <t xml:space="preserve">ふぇい</t>
  </si>
  <si>
    <t xml:space="preserve">ふぁん</t>
  </si>
  <si>
    <t xml:space="preserve">ふぃん</t>
  </si>
  <si>
    <t xml:space="preserve">ふぇん</t>
  </si>
  <si>
    <t xml:space="preserve">ふぉん</t>
  </si>
  <si>
    <t xml:space="preserve">x</t>
  </si>
  <si>
    <t xml:space="preserve">っ</t>
  </si>
  <si>
    <t xml:space="preserve">ぁ</t>
  </si>
  <si>
    <t xml:space="preserve">ぃ</t>
  </si>
  <si>
    <t xml:space="preserve">ぅ</t>
  </si>
  <si>
    <t xml:space="preserve">ぇ</t>
  </si>
  <si>
    <t xml:space="preserve">ぉ</t>
  </si>
  <si>
    <t xml:space="preserve">ゃ</t>
  </si>
  <si>
    <t xml:space="preserve">ゅ</t>
  </si>
  <si>
    <t xml:space="preserve">ょ</t>
  </si>
  <si>
    <t xml:space="preserve">ー</t>
  </si>
  <si>
    <t xml:space="preserve">dli</t>
  </si>
  <si>
    <t xml:space="preserve">でぃ</t>
  </si>
  <si>
    <t xml:space="preserve">tli</t>
  </si>
  <si>
    <t xml:space="preserve">てぃ</t>
  </si>
  <si>
    <t xml:space="preserve">z&gt;</t>
  </si>
  <si>
    <t xml:space="preserve">→</t>
  </si>
  <si>
    <t xml:space="preserve">z&lt;</t>
  </si>
  <si>
    <t xml:space="preserve">←</t>
  </si>
  <si>
    <t xml:space="preserve">del</t>
  </si>
  <si>
    <t xml:space="preserve">dw</t>
  </si>
  <si>
    <t xml:space="preserve">どぅ</t>
  </si>
  <si>
    <t xml:space="preserve">tw</t>
  </si>
  <si>
    <t xml:space="preserve">とゅ</t>
  </si>
  <si>
    <t xml:space="preserve">y;</t>
  </si>
  <si>
    <t xml:space="preserve">yk</t>
  </si>
  <si>
    <t xml:space="preserve">yl</t>
  </si>
  <si>
    <t xml:space="preserve">gn</t>
  </si>
  <si>
    <t xml:space="preserve">ga</t>
  </si>
  <si>
    <t xml:space="preserve">gi</t>
  </si>
  <si>
    <t xml:space="preserve">gr</t>
  </si>
  <si>
    <t xml:space="preserve">ge</t>
  </si>
  <si>
    <t xml:space="preserve">go</t>
  </si>
  <si>
    <t xml:space="preserve">gf</t>
  </si>
  <si>
    <t xml:space="preserve">ASRT</t>
  </si>
  <si>
    <t xml:space="preserve">げ</t>
  </si>
  <si>
    <t xml:space="preserve">gha</t>
  </si>
  <si>
    <t xml:space="preserve">ghu</t>
  </si>
  <si>
    <t xml:space="preserve">ghe</t>
  </si>
  <si>
    <t xml:space="preserve">gho</t>
  </si>
  <si>
    <t xml:space="preserve">ghw</t>
  </si>
  <si>
    <t xml:space="preserve">ghz</t>
  </si>
  <si>
    <t xml:space="preserve">ghq</t>
  </si>
  <si>
    <t xml:space="preserve">ghn</t>
  </si>
  <si>
    <t xml:space="preserve">ghf</t>
  </si>
  <si>
    <t xml:space="preserve">ghh</t>
  </si>
  <si>
    <t xml:space="preserve">ぎぇ</t>
  </si>
  <si>
    <t xml:space="preserve">ぎょう</t>
  </si>
  <si>
    <t xml:space="preserve">ぎゃい</t>
  </si>
  <si>
    <t xml:space="preserve">ぎゅう</t>
  </si>
  <si>
    <t xml:space="preserve">ぎゃん</t>
  </si>
  <si>
    <t xml:space="preserve">ぎゅん</t>
  </si>
  <si>
    <t xml:space="preserve">ぎょん</t>
  </si>
  <si>
    <t xml:space="preserve">標準</t>
  </si>
  <si>
    <r>
      <rPr>
        <sz val="10"/>
        <rFont val="PlemolJP"/>
        <family val="3"/>
        <charset val="128"/>
      </rPr>
      <t xml:space="preserve">AHK</t>
    </r>
    <r>
      <rPr>
        <sz val="10"/>
        <rFont val="游ゴシック"/>
        <family val="2"/>
        <charset val="128"/>
      </rPr>
      <t xml:space="preserve">標準</t>
    </r>
  </si>
  <si>
    <t xml:space="preserve">ESC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</si>
  <si>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</si>
  <si>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</si>
  <si>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</si>
  <si>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</si>
  <si>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</si>
  <si>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F6</t>
  </si>
  <si>
    <t xml:space="preserve">F7</t>
  </si>
  <si>
    <t xml:space="preserve">F8</t>
  </si>
  <si>
    <t xml:space="preserve">F9</t>
  </si>
  <si>
    <t xml:space="preserve">F10</t>
  </si>
  <si>
    <t xml:space="preserve">F11</t>
  </si>
  <si>
    <t xml:space="preserve">F12</t>
  </si>
  <si>
    <t xml:space="preserve">Ptr
Scr</t>
  </si>
  <si>
    <t xml:space="preserve">Scr
Lock</t>
  </si>
  <si>
    <t xml:space="preserve">Puase
Break</t>
  </si>
  <si>
    <t xml:space="preserve">Ins</t>
  </si>
  <si>
    <t xml:space="preserve">Del</t>
  </si>
  <si>
    <t xml:space="preserve">PgUp</t>
  </si>
  <si>
    <t xml:space="preserve">PgDn</t>
  </si>
  <si>
    <t xml:space="preserve">Home</t>
  </si>
  <si>
    <t xml:space="preserve">End</t>
  </si>
  <si>
    <t xml:space="preserve">全角</t>
  </si>
  <si>
    <t xml:space="preserve">-</t>
  </si>
  <si>
    <t xml:space="preserve">^</t>
  </si>
  <si>
    <t xml:space="preserve">\</t>
  </si>
  <si>
    <t xml:space="preserve">BS</t>
  </si>
  <si>
    <t xml:space="preserve">Tab</t>
  </si>
  <si>
    <t xml:space="preserve">@</t>
  </si>
  <si>
    <t xml:space="preserve">[</t>
  </si>
  <si>
    <t xml:space="preserve">Enter</t>
  </si>
  <si>
    <t xml:space="preserve">Caps</t>
  </si>
  <si>
    <t xml:space="preserve">:</t>
  </si>
  <si>
    <t xml:space="preserve">]</t>
  </si>
  <si>
    <t xml:space="preserve">F13</t>
  </si>
  <si>
    <t xml:space="preserve">Shift</t>
  </si>
  <si>
    <t xml:space="preserve">,</t>
  </si>
  <si>
    <t xml:space="preserve">.</t>
  </si>
  <si>
    <t xml:space="preserve">/</t>
  </si>
  <si>
    <t xml:space="preserve">Ctrl</t>
  </si>
  <si>
    <t xml:space="preserve">Fn</t>
  </si>
  <si>
    <t xml:space="preserve">Win</t>
  </si>
  <si>
    <t xml:space="preserve">Alt</t>
  </si>
  <si>
    <t xml:space="preserve">無変換</t>
  </si>
  <si>
    <t xml:space="preserve">Spcae</t>
  </si>
  <si>
    <t xml:space="preserve">Space</t>
  </si>
  <si>
    <t xml:space="preserve">変換</t>
  </si>
  <si>
    <t xml:space="preserve">ひらがな</t>
  </si>
  <si>
    <t xml:space="preserve">↑</t>
  </si>
  <si>
    <t xml:space="preserve">↓</t>
  </si>
  <si>
    <r>
      <rPr>
        <sz val="10"/>
        <rFont val="游ゴシック"/>
        <family val="2"/>
        <charset val="128"/>
      </rPr>
      <t xml:space="preserve">標準</t>
    </r>
    <r>
      <rPr>
        <sz val="10"/>
        <rFont val="PlemolJP"/>
        <family val="3"/>
        <charset val="128"/>
      </rPr>
      <t xml:space="preserve">(</t>
    </r>
    <r>
      <rPr>
        <sz val="10"/>
        <rFont val="游ゴシック"/>
        <family val="2"/>
        <charset val="128"/>
      </rPr>
      <t xml:space="preserve">レジストリ編集</t>
    </r>
    <r>
      <rPr>
        <sz val="10"/>
        <rFont val="PlemolJP"/>
        <family val="3"/>
        <charset val="128"/>
      </rPr>
      <t xml:space="preserve">)</t>
    </r>
  </si>
  <si>
    <t xml:space="preserve">シフト</t>
  </si>
  <si>
    <t xml:space="preserve">!</t>
  </si>
  <si>
    <t xml:space="preserve">“</t>
  </si>
  <si>
    <t xml:space="preserve">#</t>
  </si>
  <si>
    <t xml:space="preserve">$</t>
  </si>
  <si>
    <t xml:space="preserve">%</t>
  </si>
  <si>
    <t xml:space="preserve">&amp;</t>
  </si>
  <si>
    <t xml:space="preserve">'</t>
  </si>
  <si>
    <t xml:space="preserve">(</t>
  </si>
  <si>
    <t xml:space="preserve">)</t>
  </si>
  <si>
    <t xml:space="preserve">=</t>
  </si>
  <si>
    <t xml:space="preserve">~</t>
  </si>
  <si>
    <t xml:space="preserve">|</t>
  </si>
  <si>
    <t xml:space="preserve">Esc</t>
  </si>
  <si>
    <t xml:space="preserve">N7</t>
  </si>
  <si>
    <t xml:space="preserve">N8</t>
  </si>
  <si>
    <t xml:space="preserve">N9</t>
  </si>
  <si>
    <t xml:space="preserve">N*</t>
  </si>
  <si>
    <t xml:space="preserve">N-</t>
  </si>
  <si>
    <t xml:space="preserve">Q</t>
  </si>
  <si>
    <t xml:space="preserve">W</t>
  </si>
  <si>
    <t xml:space="preserve">E</t>
  </si>
  <si>
    <t xml:space="preserve">T</t>
  </si>
  <si>
    <t xml:space="preserve">Y</t>
  </si>
  <si>
    <t xml:space="preserve">U</t>
  </si>
  <si>
    <t xml:space="preserve">I</t>
  </si>
  <si>
    <t xml:space="preserve">O</t>
  </si>
  <si>
    <t xml:space="preserve">P</t>
  </si>
  <si>
    <t xml:space="preserve">`</t>
  </si>
  <si>
    <t xml:space="preserve">{</t>
  </si>
  <si>
    <t xml:space="preserve">?</t>
  </si>
  <si>
    <t xml:space="preserve">S+F3</t>
  </si>
  <si>
    <t xml:space="preserve">N+</t>
  </si>
  <si>
    <t xml:space="preserve">N4</t>
  </si>
  <si>
    <t xml:space="preserve">N5</t>
  </si>
  <si>
    <t xml:space="preserve">N6</t>
  </si>
  <si>
    <t xml:space="preserve">A</t>
  </si>
  <si>
    <t xml:space="preserve">S</t>
  </si>
  <si>
    <t xml:space="preserve">D</t>
  </si>
  <si>
    <t xml:space="preserve">F</t>
  </si>
  <si>
    <t xml:space="preserve">G</t>
  </si>
  <si>
    <t xml:space="preserve">H</t>
  </si>
  <si>
    <t xml:space="preserve">J</t>
  </si>
  <si>
    <t xml:space="preserve">K</t>
  </si>
  <si>
    <t xml:space="preserve">+</t>
  </si>
  <si>
    <t xml:space="preserve">*</t>
  </si>
  <si>
    <t xml:space="preserve">}</t>
  </si>
  <si>
    <t xml:space="preserve">_</t>
  </si>
  <si>
    <t xml:space="preserve">N1</t>
  </si>
  <si>
    <t xml:space="preserve">N2</t>
  </si>
  <si>
    <t xml:space="preserve">N3</t>
  </si>
  <si>
    <t xml:space="preserve">Z</t>
  </si>
  <si>
    <t xml:space="preserve">X</t>
  </si>
  <si>
    <t xml:space="preserve">C</t>
  </si>
  <si>
    <t xml:space="preserve">V</t>
  </si>
  <si>
    <t xml:space="preserve">B</t>
  </si>
  <si>
    <t xml:space="preserve">N</t>
  </si>
  <si>
    <t xml:space="preserve">M</t>
  </si>
  <si>
    <t xml:space="preserve">&lt;</t>
  </si>
  <si>
    <t xml:space="preserve">&gt;</t>
  </si>
  <si>
    <t xml:space="preserve">C+z</t>
  </si>
  <si>
    <t xml:space="preserve">C+x</t>
  </si>
  <si>
    <t xml:space="preserve">C+c</t>
  </si>
  <si>
    <t xml:space="preserve">C+v</t>
  </si>
  <si>
    <t xml:space="preserve">N0</t>
  </si>
  <si>
    <t xml:space="preserve">N.</t>
  </si>
  <si>
    <t xml:space="preserve">N/</t>
  </si>
  <si>
    <t xml:space="preserve">F14</t>
  </si>
  <si>
    <t xml:space="preserve">M1</t>
  </si>
  <si>
    <t xml:space="preserve">M2</t>
  </si>
  <si>
    <t xml:space="preserve">M4</t>
  </si>
  <si>
    <t xml:space="preserve">SC+\</t>
  </si>
  <si>
    <t xml:space="preserve">WA+Space</t>
  </si>
  <si>
    <t xml:space="preserve">C+y</t>
  </si>
  <si>
    <t xml:space="preserve">C+Home</t>
  </si>
  <si>
    <t xml:space="preserve">C+End</t>
  </si>
  <si>
    <t xml:space="preserve">C+Enter</t>
  </si>
  <si>
    <t xml:space="preserve">:=</t>
  </si>
  <si>
    <t xml:space="preserve">C+a</t>
  </si>
  <si>
    <t xml:space="preserve">C+s</t>
  </si>
  <si>
    <t xml:space="preserve">C+Space</t>
  </si>
  <si>
    <t xml:space="preserve">C+f</t>
  </si>
  <si>
    <t xml:space="preserve">C+]</t>
  </si>
  <si>
    <t xml:space="preserve">C+←</t>
  </si>
  <si>
    <t xml:space="preserve">C+→</t>
  </si>
  <si>
    <t xml:space="preserve">Backspace</t>
  </si>
  <si>
    <t xml:space="preserve">10Key Mode</t>
  </si>
  <si>
    <t xml:space="preserve">Mouse Mode</t>
  </si>
  <si>
    <t xml:space="preserve">M3</t>
  </si>
  <si>
    <t xml:space="preserve">A+Space</t>
  </si>
  <si>
    <r>
      <rPr>
        <sz val="9"/>
        <rFont val="游ゴシック"/>
        <family val="3"/>
        <charset val="128"/>
      </rPr>
      <t xml:space="preserve">po</t>
    </r>
    <r>
      <rPr>
        <b val="true"/>
        <sz val="9"/>
        <rFont val="游ゴシック"/>
        <family val="3"/>
        <charset val="128"/>
      </rPr>
      <t xml:space="preserve">w</t>
    </r>
    <r>
      <rPr>
        <sz val="9"/>
        <rFont val="游ゴシック"/>
        <family val="3"/>
        <charset val="128"/>
      </rPr>
      <t xml:space="preserve">(</t>
    </r>
  </si>
  <si>
    <r>
      <rPr>
        <b val="true"/>
        <sz val="9"/>
        <rFont val="游ゴシック"/>
        <family val="3"/>
        <charset val="128"/>
      </rPr>
      <t xml:space="preserve">e</t>
    </r>
    <r>
      <rPr>
        <sz val="9"/>
        <rFont val="游ゴシック"/>
        <family val="3"/>
        <charset val="128"/>
      </rPr>
      <t xml:space="preserve">xp(</t>
    </r>
  </si>
  <si>
    <r>
      <rPr>
        <sz val="9"/>
        <rFont val="游ゴシック"/>
        <family val="3"/>
        <charset val="128"/>
      </rPr>
      <t xml:space="preserve">sq</t>
    </r>
    <r>
      <rPr>
        <b val="true"/>
        <sz val="9"/>
        <rFont val="游ゴシック"/>
        <family val="3"/>
        <charset val="128"/>
      </rPr>
      <t xml:space="preserve">r</t>
    </r>
    <r>
      <rPr>
        <sz val="9"/>
        <rFont val="游ゴシック"/>
        <family val="3"/>
        <charset val="128"/>
      </rPr>
      <t xml:space="preserve">t(</t>
    </r>
  </si>
  <si>
    <r>
      <rPr>
        <b val="true"/>
        <sz val="9"/>
        <rFont val="游ゴシック"/>
        <family val="3"/>
        <charset val="128"/>
      </rPr>
      <t xml:space="preserve">t</t>
    </r>
    <r>
      <rPr>
        <sz val="9"/>
        <rFont val="游ゴシック"/>
        <family val="3"/>
        <charset val="128"/>
      </rPr>
      <t xml:space="preserve">an(</t>
    </r>
  </si>
  <si>
    <t xml:space="preserve">pi</t>
  </si>
  <si>
    <t xml:space="preserve">Wheel
Up</t>
  </si>
  <si>
    <t xml:space="preserve">Left
Click</t>
  </si>
  <si>
    <t xml:space="preserve">Right
Click</t>
  </si>
  <si>
    <t xml:space="preserve">S+↑</t>
  </si>
  <si>
    <t xml:space="preserve">S+PgUp</t>
  </si>
  <si>
    <t xml:space="preserve">S+PgDn</t>
  </si>
  <si>
    <t xml:space="preserve">SC+Home</t>
  </si>
  <si>
    <t xml:space="preserve">SC+End</t>
  </si>
  <si>
    <r>
      <rPr>
        <b val="true"/>
        <sz val="9"/>
        <rFont val="游ゴシック"/>
        <family val="3"/>
        <charset val="128"/>
      </rPr>
      <t xml:space="preserve">a</t>
    </r>
    <r>
      <rPr>
        <sz val="9"/>
        <rFont val="游ゴシック"/>
        <family val="3"/>
        <charset val="128"/>
      </rPr>
      <t xml:space="preserve">tan(</t>
    </r>
  </si>
  <si>
    <r>
      <rPr>
        <b val="true"/>
        <sz val="9"/>
        <rFont val="游ゴシック"/>
        <family val="3"/>
        <charset val="128"/>
      </rPr>
      <t xml:space="preserve">s</t>
    </r>
    <r>
      <rPr>
        <sz val="9"/>
        <rFont val="游ゴシック"/>
        <family val="3"/>
        <charset val="128"/>
      </rPr>
      <t xml:space="preserve">in(</t>
    </r>
  </si>
  <si>
    <t xml:space="preserve">*180/pi</t>
  </si>
  <si>
    <r>
      <rPr>
        <b val="true"/>
        <sz val="8"/>
        <rFont val="PlemolJP"/>
        <family val="3"/>
        <charset val="128"/>
      </rPr>
      <t xml:space="preserve">f</t>
    </r>
    <r>
      <rPr>
        <sz val="8"/>
        <rFont val="PlemolJP"/>
        <family val="3"/>
        <charset val="128"/>
      </rPr>
      <t xml:space="preserve">loor(</t>
    </r>
  </si>
  <si>
    <r>
      <rPr>
        <sz val="9"/>
        <rFont val="游ゴシック"/>
        <family val="3"/>
        <charset val="128"/>
      </rPr>
      <t xml:space="preserve">lo</t>
    </r>
    <r>
      <rPr>
        <b val="true"/>
        <sz val="9"/>
        <rFont val="游ゴシック"/>
        <family val="3"/>
        <charset val="128"/>
      </rPr>
      <t xml:space="preserve">g</t>
    </r>
    <r>
      <rPr>
        <sz val="9"/>
        <rFont val="游ゴシック"/>
        <family val="3"/>
        <charset val="128"/>
      </rPr>
      <t xml:space="preserve">(</t>
    </r>
  </si>
  <si>
    <t xml:space="preserve">Wheel
Down</t>
  </si>
  <si>
    <t xml:space="preserve">S+Home</t>
  </si>
  <si>
    <t xml:space="preserve">S+←</t>
  </si>
  <si>
    <t xml:space="preserve">S+↓</t>
  </si>
  <si>
    <t xml:space="preserve">S+→</t>
  </si>
  <si>
    <t xml:space="preserve">abs(</t>
  </si>
  <si>
    <t xml:space="preserve">/180*pi</t>
  </si>
  <si>
    <r>
      <rPr>
        <b val="true"/>
        <sz val="9"/>
        <rFont val="游ゴシック"/>
        <family val="3"/>
        <charset val="128"/>
      </rPr>
      <t xml:space="preserve">c</t>
    </r>
    <r>
      <rPr>
        <sz val="9"/>
        <rFont val="游ゴシック"/>
        <family val="3"/>
        <charset val="128"/>
      </rPr>
      <t xml:space="preserve">os(</t>
    </r>
  </si>
  <si>
    <t xml:space="preserve">ln(</t>
  </si>
  <si>
    <t xml:space="preserve">Back</t>
  </si>
  <si>
    <t xml:space="preserve">S+End</t>
  </si>
  <si>
    <t xml:space="preserve">CS+←</t>
  </si>
  <si>
    <t xml:space="preserve">CS+→</t>
  </si>
  <si>
    <t xml:space="preserve">WhUp</t>
  </si>
  <si>
    <t xml:space="preserve">Next</t>
  </si>
  <si>
    <t xml:space="preserve">m6</t>
  </si>
  <si>
    <t xml:space="preserve">AHK標準</t>
  </si>
  <si>
    <t xml:space="preserve">標準(レジストリ編集)</t>
  </si>
  <si>
    <t xml:space="preserve"> (</t>
  </si>
  <si>
    <t xml:space="preserve">＼</t>
  </si>
  <si>
    <t xml:space="preserve">M1修飾</t>
  </si>
  <si>
    <t xml:space="preserve">Ctrl
Lock</t>
  </si>
  <si>
    <t xml:space="preserve">TS
Mode</t>
  </si>
  <si>
    <t xml:space="preserve">Func
Mode</t>
  </si>
  <si>
    <t xml:space="preserve">10Key
Mode</t>
  </si>
  <si>
    <t xml:space="preserve">Space修飾</t>
  </si>
  <si>
    <t xml:space="preserve">左クリック</t>
  </si>
  <si>
    <t xml:space="preserve">右クリック</t>
  </si>
  <si>
    <t xml:space="preserve">WhDn</t>
  </si>
  <si>
    <t xml:space="preserve">マウスモード</t>
  </si>
  <si>
    <t xml:space="preserve">Pn</t>
  </si>
  <si>
    <t xml:space="preserve">Kana</t>
  </si>
  <si>
    <t xml:space="preserve">カスタマイズ後</t>
  </si>
  <si>
    <t xml:space="preserve">Reload</t>
  </si>
  <si>
    <t xml:space="preserve">EISU</t>
  </si>
  <si>
    <t xml:space="preserve">Mouse
Mode</t>
  </si>
  <si>
    <t xml:space="preserve">M2修飾</t>
  </si>
  <si>
    <t xml:space="preserve">&lt;&gt;←</t>
  </si>
  <si>
    <t xml:space="preserve">()←</t>
  </si>
  <si>
    <t xml:space="preserve">{}←</t>
  </si>
  <si>
    <t xml:space="preserve">[]←</t>
  </si>
  <si>
    <t xml:space="preserve">Win
Lock</t>
  </si>
  <si>
    <t xml:space="preserve">()</t>
  </si>
  <si>
    <t xml:space="preserve">S+Enter</t>
  </si>
  <si>
    <t xml:space="preserve">Alt
Lock</t>
  </si>
  <si>
    <t xml:space="preserve">Shift
Lock</t>
  </si>
  <si>
    <t xml:space="preserve">S+Tab</t>
  </si>
  <si>
    <t xml:space="preserve">S+Space</t>
  </si>
  <si>
    <t xml:space="preserve">S+_</t>
  </si>
  <si>
    <t xml:space="preserve">SC+←</t>
  </si>
  <si>
    <t xml:space="preserve">SC+→</t>
  </si>
  <si>
    <t xml:space="preserve">S+F1</t>
  </si>
  <si>
    <t xml:space="preserve">S+F2</t>
  </si>
  <si>
    <t xml:space="preserve">S+F4</t>
  </si>
  <si>
    <t xml:space="preserve">S+F5</t>
  </si>
  <si>
    <t xml:space="preserve">S+F6</t>
  </si>
  <si>
    <t xml:space="preserve">S+F7</t>
  </si>
  <si>
    <t xml:space="preserve">S+F8</t>
  </si>
  <si>
    <t xml:space="preserve">S+F9</t>
  </si>
  <si>
    <t xml:space="preserve">S+F10</t>
  </si>
  <si>
    <t xml:space="preserve">S+F11</t>
  </si>
  <si>
    <t xml:space="preserve">S+F12</t>
  </si>
  <si>
    <t xml:space="preserve">W+F12</t>
  </si>
  <si>
    <t xml:space="preserve">C+F1</t>
  </si>
  <si>
    <t xml:space="preserve">C+F2</t>
  </si>
  <si>
    <t xml:space="preserve">C+F3</t>
  </si>
  <si>
    <t xml:space="preserve">C+F4</t>
  </si>
  <si>
    <t xml:space="preserve">C+F5</t>
  </si>
  <si>
    <t xml:space="preserve">C+F6</t>
  </si>
  <si>
    <t xml:space="preserve">C+F7</t>
  </si>
  <si>
    <t xml:space="preserve">C+F8</t>
  </si>
  <si>
    <t xml:space="preserve">C+F9</t>
  </si>
  <si>
    <t xml:space="preserve">C+F10</t>
  </si>
  <si>
    <t xml:space="preserve">C+F11</t>
  </si>
  <si>
    <t xml:space="preserve">C+F12</t>
  </si>
  <si>
    <t xml:space="preserve">A+F1</t>
  </si>
  <si>
    <t xml:space="preserve">A+F2</t>
  </si>
  <si>
    <t xml:space="preserve">A+F3</t>
  </si>
  <si>
    <t xml:space="preserve">A+F4</t>
  </si>
  <si>
    <t xml:space="preserve">A+F5</t>
  </si>
  <si>
    <t xml:space="preserve">A+F6</t>
  </si>
  <si>
    <t xml:space="preserve">A+F7</t>
  </si>
  <si>
    <t xml:space="preserve">A+F8</t>
  </si>
  <si>
    <t xml:space="preserve">A+F9</t>
  </si>
  <si>
    <t xml:space="preserve">A+F10</t>
  </si>
  <si>
    <t xml:space="preserve">A+F11</t>
  </si>
  <si>
    <t xml:space="preserve">A+F12</t>
  </si>
  <si>
    <t xml:space="preserve">W+F1</t>
  </si>
  <si>
    <t xml:space="preserve">W+F2</t>
  </si>
  <si>
    <t xml:space="preserve">W+F3</t>
  </si>
  <si>
    <t xml:space="preserve">W+F4</t>
  </si>
  <si>
    <t xml:space="preserve">W+F5</t>
  </si>
  <si>
    <t xml:space="preserve">W+F6</t>
  </si>
  <si>
    <t xml:space="preserve">W+F7</t>
  </si>
  <si>
    <t xml:space="preserve">W+F8</t>
  </si>
  <si>
    <t xml:space="preserve">W+F9</t>
  </si>
  <si>
    <t xml:space="preserve">W+F10</t>
  </si>
  <si>
    <t xml:space="preserve">W+F11</t>
  </si>
  <si>
    <t xml:space="preserve">AHK-Colemak</t>
  </si>
  <si>
    <t xml:space="preserve">AHK Wide QWERTY</t>
  </si>
  <si>
    <r>
      <rPr>
        <sz val="10"/>
        <rFont val="游ゴシック"/>
        <family val="2"/>
        <charset val="128"/>
      </rPr>
      <t xml:space="preserve">シフト</t>
    </r>
    <r>
      <rPr>
        <sz val="10"/>
        <rFont val="PlemolJP"/>
        <family val="3"/>
        <charset val="128"/>
      </rPr>
      <t xml:space="preserve">-Colemak</t>
    </r>
  </si>
  <si>
    <t xml:space="preserve">AHK FMix</t>
  </si>
  <si>
    <t xml:space="preserve">nn</t>
  </si>
  <si>
    <t xml:space="preserve">AHK FMixR</t>
  </si>
  <si>
    <t xml:space="preserve">FMIX-14-VBD2</t>
  </si>
  <si>
    <t xml:space="preserve">FMIX-14J-VBD2</t>
  </si>
  <si>
    <t xml:space="preserve">AHK Colemak-DH</t>
  </si>
  <si>
    <t xml:space="preserve">計</t>
  </si>
  <si>
    <t xml:space="preserve">https://ikatakos.com/pot/keyboard_layout/summary/vowel_concatenation_frequency</t>
  </si>
  <si>
    <t xml:space="preserve"> </t>
  </si>
  <si>
    <t xml:space="preserve">aI</t>
  </si>
  <si>
    <t xml:space="preserve">oU</t>
  </si>
  <si>
    <t xml:space="preserve">eI</t>
  </si>
  <si>
    <t xml:space="preserve">zU</t>
  </si>
  <si>
    <t xml:space="preserve">an</t>
  </si>
  <si>
    <t xml:space="preserve">en</t>
  </si>
  <si>
    <t xml:space="preserve">in</t>
  </si>
  <si>
    <t xml:space="preserve">oI</t>
  </si>
  <si>
    <t xml:space="preserve">on</t>
  </si>
  <si>
    <t xml:space="preserve">yU</t>
  </si>
  <si>
    <t xml:space="preserve">oO</t>
  </si>
  <si>
    <t xml:space="preserve">iI</t>
  </si>
  <si>
    <t xml:space="preserve">uI</t>
  </si>
  <si>
    <t xml:space="preserve">小文字</t>
  </si>
  <si>
    <t xml:space="preserve">aA</t>
  </si>
  <si>
    <t xml:space="preserve">un</t>
  </si>
  <si>
    <t xml:space="preserve">aE</t>
  </si>
  <si>
    <t xml:space="preserve">uZ</t>
  </si>
  <si>
    <t xml:space="preserve">ン</t>
  </si>
  <si>
    <t xml:space="preserve">iA</t>
  </si>
  <si>
    <t xml:space="preserve">ッ</t>
  </si>
  <si>
    <t xml:space="preserve">aO</t>
  </si>
  <si>
    <t xml:space="preserve">iU</t>
  </si>
  <si>
    <t xml:space="preserve">oA</t>
  </si>
  <si>
    <t xml:space="preserve">iZ</t>
  </si>
  <si>
    <t xml:space="preserve">iO</t>
  </si>
  <si>
    <t xml:space="preserve">oZ</t>
  </si>
  <si>
    <t xml:space="preserve">左薬指</t>
  </si>
  <si>
    <t xml:space="preserve">左中指</t>
  </si>
  <si>
    <t xml:space="preserve">左人差指</t>
  </si>
  <si>
    <t xml:space="preserve">eA</t>
  </si>
  <si>
    <t xml:space="preserve">uU</t>
  </si>
  <si>
    <t xml:space="preserve">iE</t>
  </si>
  <si>
    <t xml:space="preserve">aU</t>
  </si>
  <si>
    <t xml:space="preserve">oE</t>
  </si>
  <si>
    <t xml:space="preserve">aZ</t>
  </si>
  <si>
    <t xml:space="preserve">iX</t>
  </si>
  <si>
    <t xml:space="preserve">eO</t>
  </si>
  <si>
    <t xml:space="preserve">uE</t>
  </si>
  <si>
    <t xml:space="preserve">aX</t>
  </si>
  <si>
    <t xml:space="preserve">uO</t>
  </si>
  <si>
    <t xml:space="preserve">oX</t>
  </si>
  <si>
    <t xml:space="preserve">zn</t>
  </si>
  <si>
    <t xml:space="preserve">uA</t>
  </si>
  <si>
    <t xml:space="preserve">nI</t>
  </si>
  <si>
    <t xml:space="preserve">uX</t>
  </si>
  <si>
    <t xml:space="preserve">zI</t>
  </si>
  <si>
    <t xml:space="preserve">yn</t>
  </si>
  <si>
    <t xml:space="preserve">iY</t>
  </si>
  <si>
    <t xml:space="preserve">eZ</t>
  </si>
  <si>
    <t xml:space="preserve">xn</t>
  </si>
  <si>
    <t xml:space="preserve">Ya</t>
  </si>
  <si>
    <t xml:space="preserve">Yu</t>
  </si>
  <si>
    <t xml:space="preserve">Yo</t>
  </si>
  <si>
    <t xml:space="preserve">eX</t>
  </si>
  <si>
    <t xml:space="preserve">aY</t>
  </si>
  <si>
    <t xml:space="preserve">oY</t>
  </si>
  <si>
    <t xml:space="preserve">nX</t>
  </si>
  <si>
    <t xml:space="preserve">nZ</t>
  </si>
  <si>
    <t xml:space="preserve">xI</t>
  </si>
  <si>
    <t xml:space="preserve">nE</t>
  </si>
  <si>
    <t xml:space="preserve">eE</t>
  </si>
  <si>
    <t xml:space="preserve">nA</t>
  </si>
  <si>
    <t xml:space="preserve">eU</t>
  </si>
  <si>
    <t xml:space="preserve">uY</t>
  </si>
  <si>
    <t xml:space="preserve">nO</t>
  </si>
  <si>
    <t xml:space="preserve">eY</t>
  </si>
  <si>
    <t xml:space="preserve">xA</t>
  </si>
  <si>
    <t xml:space="preserve">nY</t>
  </si>
  <si>
    <t xml:space="preserve">yE</t>
  </si>
  <si>
    <t xml:space="preserve">zY</t>
  </si>
  <si>
    <t xml:space="preserve">xO</t>
  </si>
  <si>
    <t xml:space="preserve">nU</t>
  </si>
  <si>
    <t xml:space="preserve">xX</t>
  </si>
  <si>
    <t xml:space="preserve">zX</t>
  </si>
  <si>
    <t xml:space="preserve">xU</t>
  </si>
  <si>
    <t xml:space="preserve">zO</t>
  </si>
  <si>
    <t xml:space="preserve">yA</t>
  </si>
  <si>
    <t xml:space="preserve">yI</t>
  </si>
  <si>
    <t xml:space="preserve">yZ</t>
  </si>
  <si>
    <t xml:space="preserve">xE</t>
  </si>
  <si>
    <t xml:space="preserve">xZ</t>
  </si>
  <si>
    <t xml:space="preserve">xY</t>
  </si>
  <si>
    <t xml:space="preserve">zZ</t>
  </si>
  <si>
    <t xml:space="preserve">zA</t>
  </si>
  <si>
    <t xml:space="preserve">yX</t>
  </si>
  <si>
    <t xml:space="preserve">zE</t>
  </si>
  <si>
    <t xml:space="preserve">yO</t>
  </si>
  <si>
    <t xml:space="preserve">yY</t>
  </si>
  <si>
    <t xml:space="preserve">(っ)</t>
  </si>
  <si>
    <t xml:space="preserve">(ん)</t>
  </si>
  <si>
    <t xml:space="preserve">(ー)</t>
  </si>
  <si>
    <t xml:space="preserve">ai</t>
  </si>
  <si>
    <t xml:space="preserve">ou</t>
  </si>
  <si>
    <t xml:space="preserve">ei</t>
  </si>
  <si>
    <t xml:space="preserve">uu</t>
  </si>
  <si>
    <t xml:space="preserve">ltu</t>
  </si>
  <si>
    <t xml:space="preserve">ltu(q)</t>
  </si>
  <si>
    <t xml:space="preserve">-(;)</t>
  </si>
  <si>
    <t xml:space="preserve">Rank</t>
  </si>
  <si>
    <t xml:space="preserve">Key</t>
  </si>
  <si>
    <t xml:space="preserve">Presses</t>
  </si>
  <si>
    <t xml:space="preserve">#1</t>
  </si>
  <si>
    <t xml:space="preserve">#2</t>
  </si>
  <si>
    <t xml:space="preserve">e E  </t>
  </si>
  <si>
    <t xml:space="preserve">#3</t>
  </si>
  <si>
    <t xml:space="preserve">t T  </t>
  </si>
  <si>
    <t xml:space="preserve">#4</t>
  </si>
  <si>
    <t xml:space="preserve">o O  </t>
  </si>
  <si>
    <t xml:space="preserve">#5</t>
  </si>
  <si>
    <t xml:space="preserve">a A</t>
  </si>
  <si>
    <t xml:space="preserve">#6</t>
  </si>
  <si>
    <t xml:space="preserve">h H  </t>
  </si>
  <si>
    <t xml:space="preserve">#7</t>
  </si>
  <si>
    <t xml:space="preserve">i I  </t>
  </si>
  <si>
    <t xml:space="preserve">#8</t>
  </si>
  <si>
    <t xml:space="preserve">n N  </t>
  </si>
  <si>
    <t xml:space="preserve">#9</t>
  </si>
  <si>
    <t xml:space="preserve">s S</t>
  </si>
  <si>
    <t xml:space="preserve">#10</t>
  </si>
  <si>
    <t xml:space="preserve">r R  </t>
  </si>
  <si>
    <t xml:space="preserve">#11</t>
  </si>
  <si>
    <t xml:space="preserve">l L  </t>
  </si>
  <si>
    <t xml:space="preserve">#12</t>
  </si>
  <si>
    <t xml:space="preserve">d D  </t>
  </si>
  <si>
    <t xml:space="preserve">#13</t>
  </si>
  <si>
    <t xml:space="preserve">w W</t>
  </si>
  <si>
    <t xml:space="preserve">#14</t>
  </si>
  <si>
    <t xml:space="preserve">u U  </t>
  </si>
  <si>
    <t xml:space="preserve">#15</t>
  </si>
  <si>
    <t xml:space="preserve">g G  </t>
  </si>
  <si>
    <t xml:space="preserve">#16</t>
  </si>
  <si>
    <t xml:space="preserve">f F  </t>
  </si>
  <si>
    <t xml:space="preserve">#17</t>
  </si>
  <si>
    <t xml:space="preserve">, &lt;</t>
  </si>
  <si>
    <t xml:space="preserve">#18</t>
  </si>
  <si>
    <t xml:space="preserve">c C</t>
  </si>
  <si>
    <t xml:space="preserve">#19</t>
  </si>
  <si>
    <t xml:space="preserve">RShift</t>
  </si>
  <si>
    <t xml:space="preserve">#20</t>
  </si>
  <si>
    <t xml:space="preserve">y Y  </t>
  </si>
  <si>
    <t xml:space="preserve">#21</t>
  </si>
  <si>
    <t xml:space="preserve">LShift</t>
  </si>
  <si>
    <t xml:space="preserve">#22</t>
  </si>
  <si>
    <t xml:space="preserve">m M  </t>
  </si>
  <si>
    <t xml:space="preserve">#23</t>
  </si>
  <si>
    <t xml:space="preserve">b B  </t>
  </si>
  <si>
    <t xml:space="preserve">#24</t>
  </si>
  <si>
    <t xml:space="preserve">p P  </t>
  </si>
  <si>
    <t xml:space="preserve">#25</t>
  </si>
  <si>
    <t xml:space="preserve">' "</t>
  </si>
  <si>
    <t xml:space="preserve">#26</t>
  </si>
  <si>
    <t xml:space="preserve">k K  </t>
  </si>
  <si>
    <t xml:space="preserve">#27</t>
  </si>
  <si>
    <t xml:space="preserve">v V</t>
  </si>
  <si>
    <t xml:space="preserve">#28</t>
  </si>
  <si>
    <t xml:space="preserve">⏎</t>
  </si>
  <si>
    <t xml:space="preserve">#29</t>
  </si>
  <si>
    <t xml:space="preserve">. &gt;</t>
  </si>
  <si>
    <t xml:space="preserve">#30</t>
  </si>
  <si>
    <t xml:space="preserve">; :  </t>
  </si>
  <si>
    <t xml:space="preserve">#31</t>
  </si>
  <si>
    <t xml:space="preserve">1 !</t>
  </si>
  <si>
    <t xml:space="preserve">#32</t>
  </si>
  <si>
    <t xml:space="preserve">- _</t>
  </si>
  <si>
    <t xml:space="preserve">#33</t>
  </si>
  <si>
    <t xml:space="preserve">/ ?</t>
  </si>
  <si>
    <t xml:space="preserve">#34</t>
  </si>
  <si>
    <t xml:space="preserve">0 )</t>
  </si>
  <si>
    <t xml:space="preserve">#35</t>
  </si>
  <si>
    <t xml:space="preserve">9 (</t>
  </si>
  <si>
    <t xml:space="preserve">#36</t>
  </si>
  <si>
    <t xml:space="preserve">x X</t>
  </si>
  <si>
    <t xml:space="preserve">#37</t>
  </si>
  <si>
    <t xml:space="preserve">j J  </t>
  </si>
  <si>
    <t xml:space="preserve">#38</t>
  </si>
  <si>
    <t xml:space="preserve">q Q</t>
  </si>
  <si>
    <t xml:space="preserve">#39</t>
  </si>
  <si>
    <t xml:space="preserve">z Z</t>
  </si>
  <si>
    <t xml:space="preserve">#40</t>
  </si>
  <si>
    <t xml:space="preserve">\ |</t>
  </si>
  <si>
    <t xml:space="preserve">#41</t>
  </si>
  <si>
    <t xml:space="preserve">R-Clk</t>
  </si>
  <si>
    <t xml:space="preserve">#42</t>
  </si>
  <si>
    <t xml:space="preserve">#43</t>
  </si>
  <si>
    <t xml:space="preserve">#44</t>
  </si>
  <si>
    <t xml:space="preserve">AltGr</t>
  </si>
  <si>
    <t xml:space="preserve">#45</t>
  </si>
  <si>
    <t xml:space="preserve">⌫</t>
  </si>
  <si>
    <t xml:space="preserve">#46</t>
  </si>
  <si>
    <t xml:space="preserve">⇥</t>
  </si>
  <si>
    <t xml:space="preserve">#47</t>
  </si>
  <si>
    <t xml:space="preserve">#48</t>
  </si>
  <si>
    <t xml:space="preserve">#49</t>
  </si>
  <si>
    <t xml:space="preserve">#50</t>
  </si>
  <si>
    <t xml:space="preserve">⇪</t>
  </si>
  <si>
    <t xml:space="preserve">#51</t>
  </si>
  <si>
    <t xml:space="preserve">2 @</t>
  </si>
  <si>
    <t xml:space="preserve">#52</t>
  </si>
  <si>
    <t xml:space="preserve">3 #</t>
  </si>
  <si>
    <t xml:space="preserve">#53</t>
  </si>
  <si>
    <t xml:space="preserve">4 $</t>
  </si>
  <si>
    <t xml:space="preserve">#54</t>
  </si>
  <si>
    <t xml:space="preserve">#55</t>
  </si>
  <si>
    <t xml:space="preserve">6 ^</t>
  </si>
  <si>
    <t xml:space="preserve">#56</t>
  </si>
  <si>
    <t xml:space="preserve">7 &amp;</t>
  </si>
  <si>
    <t xml:space="preserve">#57</t>
  </si>
  <si>
    <t xml:space="preserve">8 *</t>
  </si>
  <si>
    <t xml:space="preserve">#58</t>
  </si>
  <si>
    <t xml:space="preserve">#59</t>
  </si>
  <si>
    <t xml:space="preserve">[ {</t>
  </si>
  <si>
    <t xml:space="preserve">#60</t>
  </si>
  <si>
    <t xml:space="preserve">] }</t>
  </si>
  <si>
    <t xml:space="preserve">#61</t>
  </si>
  <si>
    <t xml:space="preserve">` ~</t>
  </si>
  <si>
    <t xml:space="preserve">キーレイアウト</t>
  </si>
  <si>
    <t xml:space="preserve">レイアウト</t>
  </si>
  <si>
    <t xml:space="preserve">英文</t>
  </si>
  <si>
    <t xml:space="preserve">ローマ字</t>
  </si>
  <si>
    <t xml:space="preserve">ローマ字
(k→c)</t>
  </si>
  <si>
    <t xml:space="preserve">qwertyuiopasdfghjkl;zxcvbnm,./</t>
  </si>
  <si>
    <t xml:space="preserve">qwerty</t>
  </si>
  <si>
    <t xml:space="preserve">qwfpgjluy;arstdhneiozxcvkm,./</t>
  </si>
  <si>
    <t xml:space="preserve">Colemak</t>
  </si>
  <si>
    <t xml:space="preserve">qwldkyfup;asrtghneiozxcvbjm,./</t>
  </si>
  <si>
    <t xml:space="preserve">FMIX14</t>
  </si>
  <si>
    <t xml:space="preserve">qwrdlyfup;asktghneiozxcvbjm,./</t>
  </si>
  <si>
    <t xml:space="preserve">FMIX14R</t>
  </si>
  <si>
    <t xml:space="preserve">ypoujkdlcwinea,mhtsrqz/.:bfgvx</t>
  </si>
  <si>
    <t xml:space="preserve">MTGAP</t>
  </si>
  <si>
    <t xml:space="preserve">qprdcbkuyxatnswmheio/,lgjfv;z.</t>
  </si>
  <si>
    <t xml:space="preserve">ワカサギ</t>
  </si>
  <si>
    <t xml:space="preserve">大西</t>
  </si>
  <si>
    <t xml:space="preserve">qwldkyfuj;asrtghneiozxcvbpm,./</t>
  </si>
  <si>
    <t xml:space="preserve">vbp</t>
  </si>
  <si>
    <t xml:space="preserve">FMIX12</t>
  </si>
  <si>
    <t xml:space="preserve">FMIX13</t>
  </si>
  <si>
    <t xml:space="preserve">FMIX13R2</t>
  </si>
  <si>
    <t xml:space="preserve">qwdrlyfup;asktghneiozxcvbjm,./</t>
  </si>
  <si>
    <t xml:space="preserve">FMIX13R</t>
  </si>
  <si>
    <t xml:space="preserve">qwdlkyfup;asrtghneiozxcvbjm,./</t>
  </si>
  <si>
    <t xml:space="preserve">FMIX14s</t>
  </si>
  <si>
    <t xml:space="preserve">qwrdlyfuj;asktghneiozxcvbpm,./</t>
  </si>
  <si>
    <t xml:space="preserve">vbp r</t>
  </si>
  <si>
    <t xml:space="preserve">qwlpkyfuj;asrtghneiozxcvbdm,./</t>
  </si>
  <si>
    <t xml:space="preserve">vbd</t>
  </si>
  <si>
    <t xml:space="preserve">ローマ字
(最適化)</t>
  </si>
  <si>
    <t xml:space="preserve">qwlrkyfuj;asdtghneiozxcvbpm,./</t>
  </si>
  <si>
    <t xml:space="preserve">qwrlkyfuj;asdtghneiozxcvbpm,./</t>
  </si>
  <si>
    <t xml:space="preserve">FMIX16</t>
  </si>
  <si>
    <t xml:space="preserve">Layout</t>
  </si>
  <si>
    <t xml:space="preserve">ThinkPython</t>
  </si>
  <si>
    <t xml:space="preserve">ThinkC++</t>
  </si>
  <si>
    <t xml:space="preserve">FMIX14R+</t>
  </si>
  <si>
    <t xml:space="preserve">FMIX14fR+</t>
  </si>
  <si>
    <t xml:space="preserve">FMIX13R+</t>
  </si>
  <si>
    <t xml:space="preserve">FMIX13fR+</t>
  </si>
  <si>
    <t xml:space="preserve">FMIX14+</t>
  </si>
  <si>
    <t xml:space="preserve">FMIX14f+</t>
  </si>
  <si>
    <t xml:space="preserve">FMIX13+</t>
  </si>
  <si>
    <t xml:space="preserve">FMIX13f+</t>
  </si>
  <si>
    <t xml:space="preserve">FMIX12+</t>
  </si>
  <si>
    <t xml:space="preserve">FMIX12f+</t>
  </si>
  <si>
    <t xml:space="preserve">大西配列</t>
  </si>
  <si>
    <t xml:space="preserve">英字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</si>
</sst>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%"/>
    <numFmt numFmtId="167" formatCode="0%"/>
    <numFmt numFmtId="168" formatCode="0.000"/>
    <numFmt numFmtId="169" formatCode="0.00"/>
    <numFmt numFmtId="170" formatCode="0.0"/>
    <numFmt numFmtId="171" formatCode="#,##0.00"/>
  </numFmts>
  <fonts count="37">
    <font>
      <sz val="10"/>
      <name val="游ゴシック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rgb="FF000000"/>
      <name val="游ゴシック"/>
      <family val="2"/>
      <charset val="128"/>
    </font>
    <font>
      <sz val="10"/>
      <name val="PlemolJP"/>
      <family val="3"/>
      <charset val="128"/>
    </font>
    <font>
      <sz val="8"/>
      <name val="PlemolJP"/>
      <family val="3"/>
      <charset val="128"/>
    </font>
    <font>
      <sz val="7"/>
      <name val="PlemolJP"/>
      <family val="3"/>
      <charset val="128"/>
    </font>
    <font>
      <sz val="9"/>
      <name val="PlemolJP"/>
      <family val="3"/>
      <charset val="128"/>
    </font>
    <font>
      <sz val="9"/>
      <name val="游ゴシック"/>
      <family val="2"/>
      <charset val="128"/>
    </font>
    <font>
      <sz val="7"/>
      <name val="游ゴシック"/>
      <family val="2"/>
      <charset val="128"/>
    </font>
    <font>
      <sz val="10.5"/>
      <name val="PlemolJP"/>
      <family val="3"/>
      <charset val="128"/>
    </font>
    <font>
      <sz val="10.5"/>
      <name val="游ゴシック"/>
      <family val="2"/>
      <charset val="128"/>
    </font>
    <font>
      <sz val="6"/>
      <name val="PlemolJP"/>
      <family val="3"/>
      <charset val="128"/>
    </font>
    <font>
      <sz val="9"/>
      <name val="游ゴシック"/>
      <family val="3"/>
      <charset val="128"/>
    </font>
    <font>
      <b val="true"/>
      <sz val="9"/>
      <name val="游ゴシック"/>
      <family val="3"/>
      <charset val="128"/>
    </font>
    <font>
      <b val="true"/>
      <sz val="8"/>
      <name val="PlemolJP"/>
      <family val="3"/>
      <charset val="128"/>
    </font>
    <font>
      <sz val="8"/>
      <name val="游ゴシック"/>
      <family val="2"/>
      <charset val="128"/>
    </font>
    <font>
      <b val="true"/>
      <sz val="10"/>
      <name val="PlemolJP"/>
      <family val="3"/>
      <charset val="128"/>
    </font>
    <font>
      <sz val="10"/>
      <name val="游ゴシック"/>
      <family val="3"/>
      <charset val="128"/>
    </font>
    <font>
      <sz val="7"/>
      <name val="游ゴシック"/>
      <family val="3"/>
      <charset val="128"/>
    </font>
    <font>
      <sz val="6"/>
      <name val="游ゴシック"/>
      <family val="3"/>
      <charset val="128"/>
    </font>
    <font>
      <b val="true"/>
      <sz val="10"/>
      <name val="游ゴシック"/>
      <family val="2"/>
      <charset val="128"/>
    </font>
    <font>
      <b val="true"/>
      <sz val="12"/>
      <name val="游ゴシック"/>
      <family val="2"/>
      <charset val="128"/>
    </font>
    <font>
      <b val="true"/>
      <u val="single"/>
      <sz val="12"/>
      <name val="游ゴシック"/>
      <family val="2"/>
      <charset val="128"/>
    </font>
    <font>
      <b val="true"/>
      <sz val="10"/>
      <color rgb="FF000000"/>
      <name val="游ゴシック"/>
      <family val="2"/>
      <charset val="128"/>
    </font>
    <font>
      <sz val="10"/>
      <name val="メイリオ"/>
      <family val="3"/>
      <charset val="1"/>
    </font>
    <font>
      <sz val="10"/>
      <name val="PlemolJP"/>
      <family val="0"/>
      <charset val="128"/>
    </font>
    <font>
      <sz val="10"/>
      <color rgb="FFC9211E"/>
      <name val="游ゴシック"/>
      <family val="2"/>
      <charset val="128"/>
    </font>
    <font>
      <sz val="10"/>
      <color rgb="FFFF0000"/>
      <name val="游ゴシック"/>
      <family val="2"/>
      <charset val="128"/>
    </font>
    <font>
      <b val="true"/>
      <sz val="10"/>
      <color rgb="FFFF0000"/>
      <name val="游ゴシック"/>
      <family val="2"/>
      <charset val="128"/>
    </font>
    <font>
      <b val="true"/>
      <sz val="10"/>
      <name val="Times New Roman"/>
      <family val="1"/>
      <charset val="128"/>
    </font>
    <font>
      <sz val="10"/>
      <name val="Times New Roman"/>
      <family val="1"/>
      <charset val="128"/>
    </font>
    <font>
      <sz val="13"/>
      <color rgb="FF000000"/>
      <name val="Arial"/>
      <family val="2"/>
    </font>
    <font>
      <sz val="13"/>
      <color rgb="FF000000"/>
      <name val="DejaVu Sans"/>
      <family val="2"/>
    </font>
    <font>
      <sz val="10"/>
      <color rgb="FF000000"/>
      <name val="DejaVu Sans"/>
      <family val="2"/>
    </font>
    <font>
      <sz val="9"/>
      <color rgb="FF000000"/>
      <name val="DejaVu Sans"/>
      <family val="2"/>
    </font>
  </fonts>
  <fills count="18">
    <fill>
      <patternFill patternType="none"/>
    </fill>
    <fill>
      <patternFill patternType="gray125"/>
    </fill>
    <fill>
      <patternFill patternType="solid">
        <fgColor rgb="FFFF0000"/>
        <bgColor rgb="FFC9211E"/>
      </patternFill>
    </fill>
    <fill>
      <patternFill patternType="solid">
        <fgColor rgb="FFA1467E"/>
        <bgColor rgb="FF993366"/>
      </patternFill>
    </fill>
    <fill>
      <patternFill patternType="solid">
        <fgColor rgb="FFFF4000"/>
        <bgColor rgb="FFC9211E"/>
      </patternFill>
    </fill>
    <fill>
      <patternFill patternType="solid">
        <fgColor rgb="FF81D41A"/>
        <bgColor rgb="FFB2B2B2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3300"/>
      </patternFill>
    </fill>
    <fill>
      <patternFill patternType="solid">
        <fgColor rgb="FF2A6099"/>
        <bgColor rgb="FF004586"/>
      </patternFill>
    </fill>
    <fill>
      <patternFill patternType="solid">
        <fgColor rgb="FF800080"/>
        <bgColor rgb="FF800080"/>
      </patternFill>
    </fill>
    <fill>
      <patternFill patternType="solid">
        <fgColor rgb="FFB2B2B2"/>
        <bgColor rgb="FFB3B3B3"/>
      </patternFill>
    </fill>
    <fill>
      <patternFill patternType="solid">
        <fgColor rgb="FFB4C7DC"/>
        <bgColor rgb="FFCCCCCC"/>
      </patternFill>
    </fill>
    <fill>
      <patternFill patternType="solid">
        <fgColor rgb="FF729FCF"/>
        <bgColor rgb="FF808080"/>
      </patternFill>
    </fill>
    <fill>
      <patternFill patternType="solid">
        <fgColor rgb="FFCCCCCC"/>
        <bgColor rgb="FFB4C7DC"/>
      </patternFill>
    </fill>
    <fill>
      <patternFill patternType="solid">
        <fgColor rgb="FFDDDDDD"/>
        <bgColor rgb="FFCCCCCC"/>
      </patternFill>
    </fill>
    <fill>
      <patternFill patternType="solid">
        <fgColor rgb="FFFFBF00"/>
        <bgColor rgb="FFFF9900"/>
      </patternFill>
    </fill>
    <fill>
      <patternFill patternType="solid">
        <fgColor rgb="FFE8F2A1"/>
        <bgColor rgb="FFFFFF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/>
      <diagonal/>
    </border>
    <border diagonalUp="false" diagonalDown="false">
      <left style="thin">
        <color rgb="FFFFFFFF"/>
      </left>
      <right/>
      <top style="thin">
        <color rgb="FFFFFFFF"/>
      </top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 style="thin">
        <color rgb="FFFFFFFF"/>
      </top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>
        <color rgb="FFFFFFFF"/>
      </right>
      <top style="thin">
        <color rgb="FFFFFFFF"/>
      </top>
      <bottom style="thin"/>
      <diagonal/>
    </border>
    <border diagonalUp="false" diagonalDown="false">
      <left/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 style="thin">
        <color rgb="FFFFFFFF"/>
      </right>
      <top style="thin"/>
      <bottom style="thin">
        <color rgb="FFFFFFFF"/>
      </bottom>
      <diagonal/>
    </border>
    <border diagonalUp="false" diagonalDown="false">
      <left style="thin">
        <color rgb="FFFFFFFF"/>
      </left>
      <right/>
      <top style="thin"/>
      <bottom style="thin">
        <color rgb="FFFFFFFF"/>
      </bottom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6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23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22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5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8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2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31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1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729FCF"/>
      <rgbColor rgb="FFA1467E"/>
      <rgbColor rgb="FFFFFFCC"/>
      <rgbColor rgb="FFCCFFFF"/>
      <rgbColor rgb="FF660066"/>
      <rgbColor rgb="FFFF8080"/>
      <rgbColor rgb="FF2A6099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E8F2A1"/>
      <rgbColor rgb="FFB3B3B3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4000"/>
      <rgbColor rgb="FF666699"/>
      <rgbColor rgb="FFB2B2B2"/>
      <rgbColor rgb="FF00458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rPr>
              <a:t>FMIXのキー入れ替え数とスコア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Pt>
            <c:idx val="4"/>
            <c:marker>
              <c:symbol val="square"/>
              <c:size val="8"/>
              <c:spPr>
                <a:solidFill>
                  <a:srgbClr val="004586"/>
                </a:solidFill>
              </c:spPr>
            </c:marker>
          </c:dPt>
          <c:dLbls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poly"/>
            <c:order val="3"/>
            <c:forward val="0"/>
            <c:backward val="0"/>
            <c:dispRSqr val="0"/>
            <c:dispEq val="0"/>
          </c:trendline>
          <c:xVal>
            <c:numRef>
              <c:f>Sheet13!$A$12:$A$19</c:f>
              <c:numCache>
                <c:formatCode>General</c:formatCode>
                <c:ptCount val="8"/>
                <c:pt idx="0">
                  <c:v>15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9</c:v>
                </c:pt>
                <c:pt idx="6">
                  <c:v>6</c:v>
                </c:pt>
                <c:pt idx="7">
                  <c:v>0</c:v>
                </c:pt>
              </c:numCache>
            </c:numRef>
          </c:xVal>
          <c:yVal>
            <c:numRef>
              <c:f>Sheet13!$B$12:$B$19</c:f>
              <c:numCache>
                <c:formatCode>General</c:formatCode>
                <c:ptCount val="8"/>
                <c:pt idx="0">
                  <c:v>64.28</c:v>
                </c:pt>
                <c:pt idx="1">
                  <c:v>63.68</c:v>
                </c:pt>
                <c:pt idx="2">
                  <c:v>63.04</c:v>
                </c:pt>
                <c:pt idx="3">
                  <c:v>62.04</c:v>
                </c:pt>
                <c:pt idx="4">
                  <c:v>61.75</c:v>
                </c:pt>
                <c:pt idx="5">
                  <c:v>55.49</c:v>
                </c:pt>
                <c:pt idx="6">
                  <c:v>51.53</c:v>
                </c:pt>
                <c:pt idx="7">
                  <c:v>36.12</c:v>
                </c:pt>
              </c:numCache>
            </c:numRef>
          </c:yVal>
          <c:smooth val="1"/>
        </c:ser>
        <c:axId val="46388151"/>
        <c:axId val="8376966"/>
      </c:scatterChart>
      <c:valAx>
        <c:axId val="4638815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キー入れ替え数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8376966"/>
        <c:crosses val="autoZero"/>
        <c:crossBetween val="midCat"/>
        <c:majorUnit val="1"/>
      </c:valAx>
      <c:valAx>
        <c:axId val="8376966"/>
        <c:scaling>
          <c:orientation val="minMax"/>
          <c:min val="3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rPr>
                  <a:t>スコア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46388151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36360</xdr:colOff>
      <xdr:row>2</xdr:row>
      <xdr:rowOff>153000</xdr:rowOff>
    </xdr:from>
    <xdr:to>
      <xdr:col>11</xdr:col>
      <xdr:colOff>56520</xdr:colOff>
      <xdr:row>28</xdr:row>
      <xdr:rowOff>9360</xdr:rowOff>
    </xdr:to>
    <xdr:graphicFrame>
      <xdr:nvGraphicFramePr>
        <xdr:cNvPr id="1" name=""/>
        <xdr:cNvGraphicFramePr/>
      </xdr:nvGraphicFramePr>
      <xdr:xfrm>
        <a:off x="1662120" y="483120"/>
        <a:ext cx="7335360" cy="412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S19:CI24 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34"/>
    <col collapsed="false" customWidth="true" hidden="false" outlineLevel="0" max="2" min="2" style="1" width="9.09"/>
    <col collapsed="false" customWidth="true" hidden="false" outlineLevel="0" max="7" min="3" style="1" width="4.34"/>
    <col collapsed="false" customWidth="true" hidden="false" outlineLevel="0" max="18" min="8" style="1" width="6.12"/>
    <col collapsed="false" customWidth="true" hidden="false" outlineLevel="0" max="19" min="19" style="1" width="6.85"/>
    <col collapsed="false" customWidth="true" hidden="false" outlineLevel="0" max="20" min="20" style="1" width="6.92"/>
    <col collapsed="false" customWidth="true" hidden="false" outlineLevel="0" max="32" min="21" style="1" width="4.34"/>
    <col collapsed="false" customWidth="true" hidden="false" outlineLevel="0" max="40" min="33" style="1" width="6.92"/>
  </cols>
  <sheetData>
    <row r="1" customFormat="false" ht="13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3" t="s">
        <v>17</v>
      </c>
      <c r="T1" s="3" t="s">
        <v>18</v>
      </c>
      <c r="U1" s="2"/>
      <c r="AG1" s="2" t="s">
        <v>19</v>
      </c>
      <c r="AH1" s="2" t="s">
        <v>20</v>
      </c>
      <c r="AI1" s="2" t="s">
        <v>21</v>
      </c>
      <c r="AJ1" s="2" t="s">
        <v>22</v>
      </c>
      <c r="AK1" s="1" t="s">
        <v>23</v>
      </c>
      <c r="AL1" s="1" t="s">
        <v>24</v>
      </c>
      <c r="AM1" s="1" t="s">
        <v>25</v>
      </c>
      <c r="AN1" s="1" t="s">
        <v>26</v>
      </c>
    </row>
    <row r="2" customFormat="false" ht="12.8" hidden="false" customHeight="false" outlineLevel="0" collapsed="false">
      <c r="C2" s="4"/>
      <c r="D2" s="5"/>
      <c r="E2" s="6"/>
      <c r="F2" s="5"/>
      <c r="G2" s="5"/>
      <c r="H2" s="4"/>
      <c r="I2" s="4"/>
      <c r="J2" s="4"/>
      <c r="K2" s="4"/>
      <c r="L2" s="4"/>
      <c r="M2" s="4"/>
      <c r="N2" s="5"/>
      <c r="O2" s="5"/>
      <c r="P2" s="5"/>
      <c r="Q2" s="5"/>
      <c r="R2" s="5"/>
      <c r="S2" s="3"/>
      <c r="T2" s="3"/>
      <c r="U2" s="2"/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2"/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  <c r="AG2" s="4" t="s">
        <v>37</v>
      </c>
      <c r="AH2" s="4" t="s">
        <v>38</v>
      </c>
      <c r="AI2" s="4" t="s">
        <v>21</v>
      </c>
      <c r="AJ2" s="4" t="s">
        <v>39</v>
      </c>
      <c r="AK2" s="5" t="s">
        <v>40</v>
      </c>
      <c r="AL2" s="5" t="s">
        <v>41</v>
      </c>
      <c r="AM2" s="5" t="s">
        <v>42</v>
      </c>
      <c r="AN2" s="5" t="s">
        <v>43</v>
      </c>
    </row>
    <row r="3" customFormat="false" ht="12.8" hidden="false" customHeight="false" outlineLevel="0" collapsed="false">
      <c r="B3" s="1" t="s">
        <v>44</v>
      </c>
      <c r="C3" s="4" t="s">
        <v>1</v>
      </c>
      <c r="D3" s="5" t="s">
        <v>2</v>
      </c>
      <c r="E3" s="6" t="s">
        <v>14</v>
      </c>
      <c r="F3" s="5" t="s">
        <v>11</v>
      </c>
      <c r="G3" s="5" t="s">
        <v>45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5</v>
      </c>
      <c r="N3" s="5" t="s">
        <v>13</v>
      </c>
      <c r="O3" s="5" t="s">
        <v>46</v>
      </c>
      <c r="P3" s="5" t="s">
        <v>47</v>
      </c>
      <c r="Q3" s="5" t="s">
        <v>15</v>
      </c>
      <c r="R3" s="5" t="s">
        <v>16</v>
      </c>
      <c r="S3" s="3"/>
      <c r="T3" s="3"/>
      <c r="U3" s="2"/>
      <c r="V3" s="3"/>
      <c r="W3" s="3"/>
      <c r="X3" s="3"/>
      <c r="Y3" s="3"/>
      <c r="Z3" s="3"/>
      <c r="AA3" s="2"/>
      <c r="AB3" s="3"/>
      <c r="AC3" s="3"/>
      <c r="AD3" s="3"/>
      <c r="AE3" s="3"/>
      <c r="AF3" s="3"/>
      <c r="AG3" s="4"/>
      <c r="AH3" s="4"/>
      <c r="AI3" s="4"/>
      <c r="AJ3" s="4"/>
      <c r="AK3" s="5"/>
      <c r="AL3" s="5"/>
      <c r="AM3" s="5"/>
      <c r="AN3" s="5"/>
    </row>
    <row r="4" customFormat="false" ht="12.8" hidden="false" customHeight="false" outlineLevel="0" collapsed="false">
      <c r="B4" s="7"/>
      <c r="C4" s="8" t="s">
        <v>48</v>
      </c>
      <c r="D4" s="8" t="s">
        <v>49</v>
      </c>
      <c r="E4" s="8" t="s">
        <v>50</v>
      </c>
      <c r="F4" s="8" t="s">
        <v>51</v>
      </c>
      <c r="G4" s="8" t="s">
        <v>52</v>
      </c>
      <c r="H4" s="9"/>
      <c r="I4" s="3"/>
      <c r="J4" s="3"/>
      <c r="K4" s="3"/>
      <c r="L4" s="3"/>
      <c r="M4" s="3"/>
      <c r="N4" s="9"/>
      <c r="O4" s="9"/>
      <c r="P4" s="9"/>
      <c r="Q4" s="3"/>
      <c r="R4" s="3"/>
      <c r="S4" s="3"/>
      <c r="T4" s="7"/>
      <c r="V4" s="3"/>
      <c r="W4" s="3"/>
      <c r="X4" s="3"/>
      <c r="Y4" s="3"/>
      <c r="Z4" s="3"/>
      <c r="AA4" s="2"/>
      <c r="AB4" s="3"/>
      <c r="AC4" s="3"/>
      <c r="AD4" s="3"/>
      <c r="AE4" s="3"/>
      <c r="AF4" s="3"/>
      <c r="AG4" s="7"/>
      <c r="AH4" s="7"/>
      <c r="AI4" s="7"/>
      <c r="AJ4" s="7"/>
      <c r="AK4" s="7"/>
      <c r="AL4" s="7"/>
      <c r="AM4" s="7"/>
      <c r="AN4" s="7"/>
    </row>
    <row r="5" customFormat="false" ht="12.8" hidden="false" customHeight="false" outlineLevel="0" collapsed="false">
      <c r="A5" s="1" t="s">
        <v>53</v>
      </c>
      <c r="B5" s="10" t="s">
        <v>4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58</v>
      </c>
      <c r="H5" s="9" t="s">
        <v>59</v>
      </c>
      <c r="I5" s="9" t="s">
        <v>60</v>
      </c>
      <c r="J5" s="9" t="s">
        <v>60</v>
      </c>
      <c r="K5" s="9" t="s">
        <v>61</v>
      </c>
      <c r="L5" s="9" t="s">
        <v>62</v>
      </c>
      <c r="M5" s="9" t="s">
        <v>62</v>
      </c>
      <c r="N5" s="9" t="s">
        <v>63</v>
      </c>
      <c r="O5" s="9" t="s">
        <v>64</v>
      </c>
      <c r="P5" s="9" t="s">
        <v>65</v>
      </c>
      <c r="Q5" s="3" t="s">
        <v>66</v>
      </c>
      <c r="R5" s="9" t="s">
        <v>67</v>
      </c>
      <c r="S5" s="9" t="s">
        <v>64</v>
      </c>
      <c r="T5" s="9" t="s">
        <v>68</v>
      </c>
      <c r="U5" s="2"/>
      <c r="V5" s="3" t="s">
        <v>69</v>
      </c>
      <c r="W5" s="3"/>
      <c r="X5" s="3" t="s">
        <v>70</v>
      </c>
      <c r="Y5" s="3"/>
      <c r="Z5" s="3" t="s">
        <v>71</v>
      </c>
      <c r="AA5" s="2"/>
      <c r="AB5" s="9" t="s">
        <v>69</v>
      </c>
      <c r="AC5" s="9"/>
      <c r="AD5" s="9" t="s">
        <v>70</v>
      </c>
      <c r="AE5" s="9" t="s">
        <v>72</v>
      </c>
      <c r="AF5" s="9" t="s">
        <v>71</v>
      </c>
      <c r="AG5" s="7" t="s">
        <v>73</v>
      </c>
      <c r="AH5" s="7" t="s">
        <v>74</v>
      </c>
      <c r="AI5" s="7"/>
      <c r="AJ5" s="7" t="s">
        <v>73</v>
      </c>
      <c r="AK5" s="7" t="s">
        <v>75</v>
      </c>
      <c r="AL5" s="7" t="s">
        <v>76</v>
      </c>
      <c r="AM5" s="7"/>
      <c r="AN5" s="7" t="s">
        <v>77</v>
      </c>
    </row>
    <row r="6" customFormat="false" ht="12.8" hidden="false" customHeight="false" outlineLevel="0" collapsed="false">
      <c r="A6" s="1" t="s">
        <v>78</v>
      </c>
      <c r="B6" s="11" t="s">
        <v>8</v>
      </c>
      <c r="C6" s="8" t="s">
        <v>79</v>
      </c>
      <c r="D6" s="8" t="s">
        <v>80</v>
      </c>
      <c r="E6" s="8" t="s">
        <v>81</v>
      </c>
      <c r="F6" s="8" t="s">
        <v>82</v>
      </c>
      <c r="G6" s="8" t="s">
        <v>83</v>
      </c>
      <c r="H6" s="9" t="s">
        <v>84</v>
      </c>
      <c r="I6" s="3" t="s">
        <v>85</v>
      </c>
      <c r="J6" s="12" t="s">
        <v>86</v>
      </c>
      <c r="K6" s="3" t="s">
        <v>87</v>
      </c>
      <c r="L6" s="3" t="s">
        <v>88</v>
      </c>
      <c r="M6" s="3" t="s">
        <v>88</v>
      </c>
      <c r="N6" s="9" t="s">
        <v>89</v>
      </c>
      <c r="O6" s="9" t="s">
        <v>90</v>
      </c>
      <c r="P6" s="9" t="s">
        <v>91</v>
      </c>
      <c r="Q6" s="9" t="s">
        <v>92</v>
      </c>
      <c r="R6" s="9" t="s">
        <v>93</v>
      </c>
      <c r="S6" s="9" t="s">
        <v>86</v>
      </c>
      <c r="T6" s="3" t="s">
        <v>85</v>
      </c>
      <c r="U6" s="2"/>
      <c r="V6" s="3" t="s">
        <v>94</v>
      </c>
      <c r="W6" s="3"/>
      <c r="X6" s="3" t="s">
        <v>95</v>
      </c>
      <c r="Y6" s="3"/>
      <c r="Z6" s="3" t="s">
        <v>96</v>
      </c>
      <c r="AA6" s="2"/>
      <c r="AB6" s="8" t="s">
        <v>94</v>
      </c>
      <c r="AC6" s="3"/>
      <c r="AD6" s="8" t="s">
        <v>95</v>
      </c>
      <c r="AE6" s="3" t="s">
        <v>97</v>
      </c>
      <c r="AF6" s="8" t="s">
        <v>96</v>
      </c>
      <c r="AG6" s="7" t="s">
        <v>98</v>
      </c>
      <c r="AH6" s="7" t="s">
        <v>99</v>
      </c>
      <c r="AI6" s="7" t="s">
        <v>100</v>
      </c>
      <c r="AJ6" s="7" t="s">
        <v>98</v>
      </c>
      <c r="AK6" s="7" t="s">
        <v>101</v>
      </c>
      <c r="AL6" s="7" t="s">
        <v>102</v>
      </c>
      <c r="AM6" s="7" t="s">
        <v>103</v>
      </c>
      <c r="AN6" s="7" t="s">
        <v>104</v>
      </c>
    </row>
    <row r="7" customFormat="false" ht="13" hidden="false" customHeight="false" outlineLevel="0" collapsed="false">
      <c r="A7" s="1" t="s">
        <v>78</v>
      </c>
      <c r="B7" s="11" t="s">
        <v>105</v>
      </c>
      <c r="C7" s="8" t="s">
        <v>106</v>
      </c>
      <c r="D7" s="8" t="s">
        <v>107</v>
      </c>
      <c r="E7" s="8" t="s">
        <v>108</v>
      </c>
      <c r="F7" s="8" t="s">
        <v>109</v>
      </c>
      <c r="G7" s="8" t="s">
        <v>110</v>
      </c>
      <c r="H7" s="9" t="s">
        <v>111</v>
      </c>
      <c r="I7" s="3" t="s">
        <v>112</v>
      </c>
      <c r="J7" s="3" t="s">
        <v>112</v>
      </c>
      <c r="K7" s="3" t="s">
        <v>113</v>
      </c>
      <c r="L7" s="3" t="s">
        <v>114</v>
      </c>
      <c r="M7" s="3" t="s">
        <v>114</v>
      </c>
      <c r="N7" s="9" t="s">
        <v>115</v>
      </c>
      <c r="O7" s="9" t="s">
        <v>116</v>
      </c>
      <c r="P7" s="9" t="s">
        <v>117</v>
      </c>
      <c r="Q7" s="9" t="s">
        <v>118</v>
      </c>
      <c r="R7" s="9" t="s">
        <v>119</v>
      </c>
      <c r="S7" s="9" t="s">
        <v>120</v>
      </c>
      <c r="T7" s="3"/>
      <c r="U7" s="2"/>
      <c r="V7" s="3" t="s">
        <v>121</v>
      </c>
      <c r="W7" s="3"/>
      <c r="X7" s="3" t="s">
        <v>70</v>
      </c>
      <c r="Y7" s="3"/>
      <c r="Z7" s="3" t="s">
        <v>122</v>
      </c>
      <c r="AA7" s="2"/>
      <c r="AB7" s="8" t="s">
        <v>121</v>
      </c>
      <c r="AC7" s="3"/>
      <c r="AD7" s="8" t="s">
        <v>123</v>
      </c>
      <c r="AE7" s="3" t="s">
        <v>124</v>
      </c>
      <c r="AF7" s="8" t="s">
        <v>122</v>
      </c>
      <c r="AG7" s="7" t="s">
        <v>125</v>
      </c>
      <c r="AH7" s="7" t="s">
        <v>126</v>
      </c>
      <c r="AI7" s="7"/>
      <c r="AJ7" s="7" t="s">
        <v>125</v>
      </c>
      <c r="AK7" s="7" t="s">
        <v>127</v>
      </c>
      <c r="AL7" s="7" t="s">
        <v>128</v>
      </c>
      <c r="AM7" s="7" t="s">
        <v>129</v>
      </c>
      <c r="AN7" s="7" t="s">
        <v>130</v>
      </c>
    </row>
    <row r="8" customFormat="false" ht="12.8" hidden="false" customHeight="false" outlineLevel="0" collapsed="false">
      <c r="A8" s="1" t="s">
        <v>53</v>
      </c>
      <c r="B8" s="13" t="s">
        <v>13</v>
      </c>
      <c r="C8" s="8" t="s">
        <v>131</v>
      </c>
      <c r="D8" s="8" t="s">
        <v>132</v>
      </c>
      <c r="E8" s="9" t="s">
        <v>133</v>
      </c>
      <c r="F8" s="8" t="s">
        <v>134</v>
      </c>
      <c r="G8" s="8" t="s">
        <v>135</v>
      </c>
      <c r="H8" s="9" t="s">
        <v>136</v>
      </c>
      <c r="I8" s="9" t="s">
        <v>137</v>
      </c>
      <c r="J8" s="9" t="s">
        <v>137</v>
      </c>
      <c r="K8" s="9" t="s">
        <v>138</v>
      </c>
      <c r="L8" s="9" t="s">
        <v>139</v>
      </c>
      <c r="M8" s="9" t="s">
        <v>139</v>
      </c>
      <c r="N8" s="12" t="s">
        <v>140</v>
      </c>
      <c r="O8" s="9" t="s">
        <v>141</v>
      </c>
      <c r="P8" s="9" t="s">
        <v>142</v>
      </c>
      <c r="Q8" s="9" t="s">
        <v>143</v>
      </c>
      <c r="R8" s="9" t="s">
        <v>144</v>
      </c>
      <c r="S8" s="9" t="s">
        <v>140</v>
      </c>
      <c r="T8" s="3"/>
      <c r="U8" s="2"/>
      <c r="V8" s="3" t="s">
        <v>145</v>
      </c>
      <c r="W8" s="3"/>
      <c r="X8" s="3" t="s">
        <v>146</v>
      </c>
      <c r="Y8" s="3" t="s">
        <v>147</v>
      </c>
      <c r="Z8" s="3" t="s">
        <v>148</v>
      </c>
      <c r="AA8" s="2"/>
      <c r="AB8" s="3" t="s">
        <v>145</v>
      </c>
      <c r="AC8" s="3"/>
      <c r="AD8" s="3" t="s">
        <v>146</v>
      </c>
      <c r="AE8" s="3" t="s">
        <v>147</v>
      </c>
      <c r="AF8" s="3" t="s">
        <v>148</v>
      </c>
      <c r="AG8" s="7" t="s">
        <v>149</v>
      </c>
      <c r="AH8" s="7" t="s">
        <v>150</v>
      </c>
      <c r="AI8" s="7"/>
      <c r="AJ8" s="7" t="s">
        <v>151</v>
      </c>
      <c r="AK8" s="7" t="s">
        <v>152</v>
      </c>
      <c r="AL8" s="7"/>
      <c r="AM8" s="7"/>
      <c r="AN8" s="7"/>
    </row>
    <row r="9" customFormat="false" ht="12.8" hidden="false" customHeight="false" outlineLevel="0" collapsed="false">
      <c r="A9" s="1" t="s">
        <v>53</v>
      </c>
      <c r="B9" s="13" t="s">
        <v>16</v>
      </c>
      <c r="C9" s="8" t="s">
        <v>153</v>
      </c>
      <c r="D9" s="8" t="s">
        <v>154</v>
      </c>
      <c r="E9" s="9" t="s">
        <v>155</v>
      </c>
      <c r="F9" s="8" t="s">
        <v>156</v>
      </c>
      <c r="G9" s="8" t="s">
        <v>157</v>
      </c>
      <c r="H9" s="8" t="s">
        <v>158</v>
      </c>
      <c r="I9" s="8" t="s">
        <v>159</v>
      </c>
      <c r="J9" s="8" t="s">
        <v>159</v>
      </c>
      <c r="K9" s="8" t="s">
        <v>160</v>
      </c>
      <c r="L9" s="8" t="s">
        <v>161</v>
      </c>
      <c r="M9" s="8" t="s">
        <v>161</v>
      </c>
      <c r="N9" s="9" t="s">
        <v>162</v>
      </c>
      <c r="O9" s="9" t="s">
        <v>163</v>
      </c>
      <c r="P9" s="9" t="s">
        <v>164</v>
      </c>
      <c r="Q9" s="9" t="s">
        <v>165</v>
      </c>
      <c r="R9" s="12" t="s">
        <v>166</v>
      </c>
      <c r="S9" s="9" t="s">
        <v>166</v>
      </c>
      <c r="T9" s="3" t="s">
        <v>167</v>
      </c>
      <c r="U9" s="2"/>
      <c r="V9" s="3" t="s">
        <v>168</v>
      </c>
      <c r="W9" s="3"/>
      <c r="X9" s="3" t="s">
        <v>169</v>
      </c>
      <c r="Y9" s="3"/>
      <c r="Z9" s="9" t="s">
        <v>170</v>
      </c>
      <c r="AA9" s="2"/>
      <c r="AB9" s="8" t="s">
        <v>168</v>
      </c>
      <c r="AC9" s="3"/>
      <c r="AD9" s="8" t="s">
        <v>169</v>
      </c>
      <c r="AE9" s="3" t="s">
        <v>171</v>
      </c>
      <c r="AF9" s="8" t="s">
        <v>170</v>
      </c>
      <c r="AG9" s="7" t="s">
        <v>172</v>
      </c>
      <c r="AH9" s="7" t="s">
        <v>173</v>
      </c>
      <c r="AI9" s="7"/>
      <c r="AJ9" s="7" t="s">
        <v>172</v>
      </c>
      <c r="AK9" s="7" t="s">
        <v>174</v>
      </c>
      <c r="AL9" s="7" t="s">
        <v>175</v>
      </c>
      <c r="AM9" s="7"/>
      <c r="AN9" s="7" t="s">
        <v>174</v>
      </c>
    </row>
    <row r="10" customFormat="false" ht="12.8" hidden="false" customHeight="false" outlineLevel="0" collapsed="false">
      <c r="A10" s="1" t="s">
        <v>53</v>
      </c>
      <c r="B10" s="13" t="s">
        <v>15</v>
      </c>
      <c r="C10" s="8" t="s">
        <v>176</v>
      </c>
      <c r="D10" s="9" t="s">
        <v>177</v>
      </c>
      <c r="E10" s="9" t="s">
        <v>178</v>
      </c>
      <c r="F10" s="9" t="s">
        <v>179</v>
      </c>
      <c r="G10" s="9" t="s">
        <v>180</v>
      </c>
      <c r="H10" s="8" t="s">
        <v>181</v>
      </c>
      <c r="I10" s="8" t="s">
        <v>182</v>
      </c>
      <c r="J10" s="8" t="s">
        <v>182</v>
      </c>
      <c r="K10" s="8" t="s">
        <v>183</v>
      </c>
      <c r="L10" s="8" t="s">
        <v>184</v>
      </c>
      <c r="M10" s="8" t="s">
        <v>184</v>
      </c>
      <c r="N10" s="9" t="s">
        <v>185</v>
      </c>
      <c r="O10" s="9" t="s">
        <v>186</v>
      </c>
      <c r="P10" s="9" t="s">
        <v>187</v>
      </c>
      <c r="Q10" s="12" t="s">
        <v>188</v>
      </c>
      <c r="R10" s="9" t="s">
        <v>186</v>
      </c>
      <c r="S10" s="9"/>
      <c r="T10" s="3" t="s">
        <v>188</v>
      </c>
      <c r="U10" s="2"/>
      <c r="V10" s="3" t="s">
        <v>189</v>
      </c>
      <c r="W10" s="3"/>
      <c r="X10" s="3" t="s">
        <v>190</v>
      </c>
      <c r="Y10" s="3"/>
      <c r="Z10" s="3" t="s">
        <v>191</v>
      </c>
      <c r="AA10" s="2"/>
      <c r="AB10" s="8" t="s">
        <v>189</v>
      </c>
      <c r="AC10" s="3"/>
      <c r="AD10" s="8" t="s">
        <v>190</v>
      </c>
      <c r="AE10" s="3" t="s">
        <v>192</v>
      </c>
      <c r="AF10" s="8" t="s">
        <v>191</v>
      </c>
      <c r="AG10" s="7" t="s">
        <v>193</v>
      </c>
      <c r="AH10" s="7" t="s">
        <v>194</v>
      </c>
      <c r="AI10" s="7"/>
      <c r="AJ10" s="7" t="s">
        <v>193</v>
      </c>
      <c r="AK10" s="7" t="s">
        <v>195</v>
      </c>
      <c r="AL10" s="7" t="s">
        <v>196</v>
      </c>
      <c r="AM10" s="7"/>
      <c r="AN10" s="7" t="s">
        <v>197</v>
      </c>
    </row>
    <row r="11" customFormat="false" ht="12.8" hidden="false" customHeight="false" outlineLevel="0" collapsed="false">
      <c r="A11" s="1" t="s">
        <v>53</v>
      </c>
      <c r="B11" s="13" t="s">
        <v>198</v>
      </c>
      <c r="C11" s="9" t="s">
        <v>199</v>
      </c>
      <c r="D11" s="14"/>
      <c r="E11" s="9" t="s">
        <v>200</v>
      </c>
      <c r="F11" s="14"/>
      <c r="G11" s="9" t="s">
        <v>201</v>
      </c>
      <c r="H11" s="8" t="s">
        <v>202</v>
      </c>
      <c r="I11" s="8" t="s">
        <v>203</v>
      </c>
      <c r="J11" s="8" t="s">
        <v>203</v>
      </c>
      <c r="K11" s="14"/>
      <c r="L11" s="9" t="s">
        <v>204</v>
      </c>
      <c r="M11" s="9" t="s">
        <v>204</v>
      </c>
      <c r="N11" s="9" t="s">
        <v>205</v>
      </c>
      <c r="O11" s="14"/>
      <c r="P11" s="9" t="s">
        <v>206</v>
      </c>
      <c r="Q11" s="14"/>
      <c r="R11" s="3" t="s">
        <v>207</v>
      </c>
      <c r="S11" s="9" t="s">
        <v>208</v>
      </c>
      <c r="T11" s="3"/>
      <c r="U11" s="2"/>
      <c r="V11" s="3"/>
      <c r="W11" s="3"/>
      <c r="X11" s="3"/>
      <c r="Y11" s="3"/>
      <c r="Z11" s="3"/>
      <c r="AA11" s="2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</row>
    <row r="12" customFormat="false" ht="12.8" hidden="false" customHeight="false" outlineLevel="0" collapsed="false">
      <c r="A12" s="1" t="s">
        <v>78</v>
      </c>
      <c r="B12" s="13" t="s">
        <v>209</v>
      </c>
      <c r="C12" s="8" t="s">
        <v>210</v>
      </c>
      <c r="D12" s="8" t="s">
        <v>211</v>
      </c>
      <c r="E12" s="8" t="s">
        <v>212</v>
      </c>
      <c r="F12" s="8" t="s">
        <v>213</v>
      </c>
      <c r="G12" s="8" t="s">
        <v>214</v>
      </c>
      <c r="H12" s="9" t="s">
        <v>215</v>
      </c>
      <c r="I12" s="3" t="s">
        <v>216</v>
      </c>
      <c r="J12" s="3" t="s">
        <v>216</v>
      </c>
      <c r="K12" s="3" t="s">
        <v>217</v>
      </c>
      <c r="L12" s="3" t="s">
        <v>218</v>
      </c>
      <c r="M12" s="3" t="s">
        <v>218</v>
      </c>
      <c r="N12" s="9" t="s">
        <v>219</v>
      </c>
      <c r="O12" s="9" t="s">
        <v>220</v>
      </c>
      <c r="P12" s="9" t="s">
        <v>221</v>
      </c>
      <c r="Q12" s="3" t="s">
        <v>222</v>
      </c>
      <c r="R12" s="3" t="s">
        <v>223</v>
      </c>
      <c r="S12" s="9"/>
      <c r="T12" s="3"/>
      <c r="U12" s="2"/>
      <c r="V12" s="3" t="s">
        <v>224</v>
      </c>
      <c r="W12" s="3"/>
      <c r="X12" s="3" t="s">
        <v>225</v>
      </c>
      <c r="Y12" s="3"/>
      <c r="Z12" s="3" t="s">
        <v>226</v>
      </c>
      <c r="AA12" s="2"/>
      <c r="AB12" s="8" t="s">
        <v>224</v>
      </c>
      <c r="AC12" s="3"/>
      <c r="AD12" s="8" t="s">
        <v>225</v>
      </c>
      <c r="AE12" s="3" t="s">
        <v>227</v>
      </c>
      <c r="AF12" s="8" t="s">
        <v>226</v>
      </c>
      <c r="AG12" s="7" t="s">
        <v>228</v>
      </c>
      <c r="AH12" s="7" t="s">
        <v>229</v>
      </c>
      <c r="AI12" s="7"/>
      <c r="AJ12" s="7" t="s">
        <v>228</v>
      </c>
      <c r="AK12" s="7" t="s">
        <v>230</v>
      </c>
      <c r="AL12" s="7" t="s">
        <v>231</v>
      </c>
      <c r="AM12" s="7"/>
      <c r="AN12" s="7" t="s">
        <v>230</v>
      </c>
    </row>
    <row r="13" customFormat="false" ht="12.8" hidden="false" customHeight="false" outlineLevel="0" collapsed="false">
      <c r="A13" s="1" t="s">
        <v>78</v>
      </c>
      <c r="B13" s="11" t="s">
        <v>6</v>
      </c>
      <c r="C13" s="8" t="s">
        <v>232</v>
      </c>
      <c r="D13" s="3" t="s">
        <v>233</v>
      </c>
      <c r="E13" s="14"/>
      <c r="F13" s="3" t="s">
        <v>234</v>
      </c>
      <c r="G13" s="8" t="s">
        <v>235</v>
      </c>
      <c r="H13" s="12" t="s">
        <v>236</v>
      </c>
      <c r="I13" s="3" t="s">
        <v>237</v>
      </c>
      <c r="J13" s="3" t="s">
        <v>237</v>
      </c>
      <c r="K13" s="9" t="s">
        <v>238</v>
      </c>
      <c r="L13" s="9"/>
      <c r="M13" s="9"/>
      <c r="N13" s="9" t="s">
        <v>239</v>
      </c>
      <c r="O13" s="9" t="s">
        <v>240</v>
      </c>
      <c r="P13" s="14"/>
      <c r="Q13" s="9" t="s">
        <v>241</v>
      </c>
      <c r="R13" s="15" t="s">
        <v>242</v>
      </c>
      <c r="S13" s="9" t="s">
        <v>236</v>
      </c>
      <c r="T13" s="3"/>
      <c r="U13" s="2"/>
      <c r="V13" s="3"/>
      <c r="W13" s="3"/>
      <c r="X13" s="3"/>
      <c r="Y13" s="3"/>
      <c r="Z13" s="3"/>
      <c r="AA13" s="2"/>
      <c r="AB13" s="3"/>
      <c r="AC13" s="3"/>
      <c r="AD13" s="3"/>
      <c r="AE13" s="3"/>
      <c r="AF13" s="3"/>
      <c r="AG13" s="7"/>
      <c r="AH13" s="7"/>
      <c r="AI13" s="7"/>
      <c r="AJ13" s="7"/>
      <c r="AK13" s="7"/>
      <c r="AL13" s="7"/>
      <c r="AM13" s="7"/>
      <c r="AN13" s="7"/>
    </row>
    <row r="14" customFormat="false" ht="12.8" hidden="false" customHeight="false" outlineLevel="0" collapsed="false">
      <c r="A14" s="1" t="s">
        <v>78</v>
      </c>
      <c r="B14" s="11" t="s">
        <v>243</v>
      </c>
      <c r="C14" s="8" t="s">
        <v>244</v>
      </c>
      <c r="D14" s="8" t="s">
        <v>245</v>
      </c>
      <c r="E14" s="8" t="s">
        <v>246</v>
      </c>
      <c r="F14" s="8"/>
      <c r="G14" s="8" t="s">
        <v>247</v>
      </c>
      <c r="H14" s="9" t="s">
        <v>248</v>
      </c>
      <c r="I14" s="3" t="s">
        <v>249</v>
      </c>
      <c r="J14" s="3" t="s">
        <v>249</v>
      </c>
      <c r="K14" s="3" t="s">
        <v>250</v>
      </c>
      <c r="L14" s="3" t="s">
        <v>251</v>
      </c>
      <c r="M14" s="3" t="s">
        <v>251</v>
      </c>
      <c r="N14" s="9" t="s">
        <v>252</v>
      </c>
      <c r="O14" s="9" t="s">
        <v>253</v>
      </c>
      <c r="P14" s="9" t="s">
        <v>254</v>
      </c>
      <c r="Q14" s="3" t="s">
        <v>255</v>
      </c>
      <c r="R14" s="16"/>
      <c r="S14" s="9" t="s">
        <v>256</v>
      </c>
      <c r="T14" s="3" t="s">
        <v>244</v>
      </c>
      <c r="U14" s="2"/>
      <c r="V14" s="3" t="s">
        <v>257</v>
      </c>
      <c r="W14" s="3"/>
      <c r="X14" s="3" t="s">
        <v>258</v>
      </c>
      <c r="Y14" s="3"/>
      <c r="Z14" s="3" t="s">
        <v>259</v>
      </c>
      <c r="AA14" s="2"/>
      <c r="AB14" s="3"/>
      <c r="AC14" s="3"/>
      <c r="AD14" s="3"/>
      <c r="AE14" s="3"/>
      <c r="AF14" s="3"/>
      <c r="AG14" s="7"/>
      <c r="AH14" s="7"/>
      <c r="AI14" s="7"/>
      <c r="AJ14" s="7"/>
      <c r="AK14" s="7"/>
      <c r="AL14" s="7"/>
      <c r="AM14" s="7"/>
      <c r="AN14" s="7"/>
    </row>
    <row r="15" customFormat="false" ht="12.8" hidden="false" customHeight="false" outlineLevel="0" collapsed="false">
      <c r="A15" s="1" t="s">
        <v>78</v>
      </c>
      <c r="B15" s="11" t="s">
        <v>7</v>
      </c>
      <c r="C15" s="9" t="s">
        <v>260</v>
      </c>
      <c r="D15" s="9" t="s">
        <v>261</v>
      </c>
      <c r="E15" s="9" t="s">
        <v>262</v>
      </c>
      <c r="F15" s="9" t="s">
        <v>263</v>
      </c>
      <c r="G15" s="9" t="s">
        <v>264</v>
      </c>
      <c r="H15" s="9" t="s">
        <v>265</v>
      </c>
      <c r="I15" s="12" t="s">
        <v>266</v>
      </c>
      <c r="J15" s="9" t="s">
        <v>267</v>
      </c>
      <c r="K15" s="3" t="s">
        <v>268</v>
      </c>
      <c r="L15" s="3" t="s">
        <v>269</v>
      </c>
      <c r="M15" s="3" t="s">
        <v>269</v>
      </c>
      <c r="N15" s="9" t="s">
        <v>270</v>
      </c>
      <c r="O15" s="9" t="s">
        <v>271</v>
      </c>
      <c r="P15" s="9" t="s">
        <v>272</v>
      </c>
      <c r="Q15" s="3" t="s">
        <v>273</v>
      </c>
      <c r="R15" s="3" t="s">
        <v>274</v>
      </c>
      <c r="S15" s="9" t="s">
        <v>266</v>
      </c>
      <c r="T15" s="3" t="s">
        <v>267</v>
      </c>
      <c r="U15" s="2"/>
      <c r="V15" s="3" t="s">
        <v>275</v>
      </c>
      <c r="W15" s="3"/>
      <c r="X15" s="3" t="s">
        <v>276</v>
      </c>
      <c r="Y15" s="3"/>
      <c r="Z15" s="3" t="s">
        <v>277</v>
      </c>
      <c r="AA15" s="2"/>
      <c r="AB15" s="9" t="s">
        <v>275</v>
      </c>
      <c r="AC15" s="9"/>
      <c r="AD15" s="9" t="s">
        <v>276</v>
      </c>
      <c r="AE15" s="9" t="s">
        <v>278</v>
      </c>
      <c r="AF15" s="9" t="s">
        <v>277</v>
      </c>
      <c r="AG15" s="7" t="s">
        <v>279</v>
      </c>
      <c r="AH15" s="7" t="s">
        <v>280</v>
      </c>
      <c r="AI15" s="7" t="s">
        <v>281</v>
      </c>
      <c r="AJ15" s="7" t="s">
        <v>279</v>
      </c>
      <c r="AK15" s="7" t="s">
        <v>282</v>
      </c>
      <c r="AL15" s="7" t="s">
        <v>283</v>
      </c>
      <c r="AM15" s="7"/>
      <c r="AN15" s="7" t="s">
        <v>282</v>
      </c>
    </row>
    <row r="16" customFormat="false" ht="12.8" hidden="false" customHeight="false" outlineLevel="0" collapsed="false">
      <c r="A16" s="1" t="s">
        <v>78</v>
      </c>
      <c r="B16" s="11" t="s">
        <v>284</v>
      </c>
      <c r="C16" s="8" t="s">
        <v>285</v>
      </c>
      <c r="D16" s="8" t="s">
        <v>286</v>
      </c>
      <c r="E16" s="8" t="s">
        <v>287</v>
      </c>
      <c r="F16" s="8" t="s">
        <v>288</v>
      </c>
      <c r="G16" s="8" t="s">
        <v>289</v>
      </c>
      <c r="H16" s="9" t="s">
        <v>290</v>
      </c>
      <c r="I16" s="3" t="s">
        <v>291</v>
      </c>
      <c r="J16" s="3" t="s">
        <v>291</v>
      </c>
      <c r="K16" s="9" t="s">
        <v>292</v>
      </c>
      <c r="L16" s="9" t="s">
        <v>218</v>
      </c>
      <c r="M16" s="9" t="s">
        <v>218</v>
      </c>
      <c r="N16" s="9" t="s">
        <v>293</v>
      </c>
      <c r="O16" s="9" t="s">
        <v>294</v>
      </c>
      <c r="P16" s="9" t="s">
        <v>295</v>
      </c>
      <c r="Q16" s="3" t="s">
        <v>296</v>
      </c>
      <c r="R16" s="3" t="s">
        <v>297</v>
      </c>
      <c r="S16" s="9" t="s">
        <v>298</v>
      </c>
      <c r="T16" s="3" t="s">
        <v>288</v>
      </c>
      <c r="U16" s="2"/>
      <c r="V16" s="3" t="s">
        <v>299</v>
      </c>
      <c r="W16" s="3"/>
      <c r="X16" s="3" t="s">
        <v>300</v>
      </c>
      <c r="Y16" s="3"/>
      <c r="Z16" s="3" t="s">
        <v>301</v>
      </c>
      <c r="AA16" s="2"/>
      <c r="AB16" s="8" t="s">
        <v>299</v>
      </c>
      <c r="AC16" s="3"/>
      <c r="AD16" s="8" t="s">
        <v>300</v>
      </c>
      <c r="AE16" s="9" t="s">
        <v>301</v>
      </c>
      <c r="AF16" s="8" t="s">
        <v>301</v>
      </c>
      <c r="AG16" s="7" t="s">
        <v>302</v>
      </c>
      <c r="AH16" s="7" t="s">
        <v>303</v>
      </c>
      <c r="AI16" s="7"/>
      <c r="AJ16" s="7" t="s">
        <v>304</v>
      </c>
      <c r="AK16" s="7" t="s">
        <v>305</v>
      </c>
      <c r="AL16" s="7" t="s">
        <v>306</v>
      </c>
      <c r="AM16" s="7"/>
      <c r="AN16" s="7" t="s">
        <v>305</v>
      </c>
    </row>
    <row r="17" customFormat="false" ht="12.8" hidden="false" customHeight="false" outlineLevel="0" collapsed="false">
      <c r="A17" s="1" t="s">
        <v>78</v>
      </c>
      <c r="B17" s="11" t="s">
        <v>307</v>
      </c>
      <c r="C17" s="8" t="s">
        <v>308</v>
      </c>
      <c r="D17" s="8" t="s">
        <v>309</v>
      </c>
      <c r="E17" s="8" t="s">
        <v>310</v>
      </c>
      <c r="F17" s="8" t="s">
        <v>311</v>
      </c>
      <c r="G17" s="8" t="s">
        <v>312</v>
      </c>
      <c r="H17" s="9" t="s">
        <v>313</v>
      </c>
      <c r="I17" s="3" t="s">
        <v>314</v>
      </c>
      <c r="J17" s="3" t="s">
        <v>314</v>
      </c>
      <c r="K17" s="3" t="s">
        <v>315</v>
      </c>
      <c r="L17" s="3" t="s">
        <v>316</v>
      </c>
      <c r="M17" s="3" t="s">
        <v>316</v>
      </c>
      <c r="N17" s="9" t="s">
        <v>317</v>
      </c>
      <c r="O17" s="9" t="s">
        <v>318</v>
      </c>
      <c r="P17" s="9" t="s">
        <v>319</v>
      </c>
      <c r="Q17" s="3" t="s">
        <v>320</v>
      </c>
      <c r="R17" s="3" t="s">
        <v>321</v>
      </c>
      <c r="S17" s="9" t="s">
        <v>322</v>
      </c>
      <c r="T17" s="3"/>
      <c r="U17" s="2"/>
      <c r="V17" s="3" t="s">
        <v>323</v>
      </c>
      <c r="W17" s="3"/>
      <c r="X17" s="3" t="s">
        <v>324</v>
      </c>
      <c r="Y17" s="3"/>
      <c r="Z17" s="3" t="s">
        <v>325</v>
      </c>
      <c r="AA17" s="2"/>
      <c r="AB17" s="8" t="s">
        <v>326</v>
      </c>
      <c r="AC17" s="3"/>
      <c r="AD17" s="8" t="s">
        <v>327</v>
      </c>
      <c r="AE17" s="3" t="s">
        <v>328</v>
      </c>
      <c r="AF17" s="8" t="s">
        <v>329</v>
      </c>
      <c r="AG17" s="7" t="s">
        <v>330</v>
      </c>
      <c r="AH17" s="7" t="s">
        <v>331</v>
      </c>
      <c r="AI17" s="7"/>
      <c r="AJ17" s="7" t="s">
        <v>330</v>
      </c>
      <c r="AK17" s="7" t="s">
        <v>332</v>
      </c>
      <c r="AL17" s="7" t="s">
        <v>333</v>
      </c>
      <c r="AM17" s="7"/>
      <c r="AN17" s="7" t="s">
        <v>332</v>
      </c>
    </row>
    <row r="18" customFormat="false" ht="12.8" hidden="false" customHeight="false" outlineLevel="0" collapsed="false">
      <c r="A18" s="1" t="s">
        <v>53</v>
      </c>
      <c r="B18" s="13" t="s">
        <v>46</v>
      </c>
      <c r="C18" s="8" t="s">
        <v>334</v>
      </c>
      <c r="D18" s="8" t="s">
        <v>335</v>
      </c>
      <c r="E18" s="8" t="s">
        <v>336</v>
      </c>
      <c r="F18" s="8" t="s">
        <v>337</v>
      </c>
      <c r="G18" s="8" t="s">
        <v>338</v>
      </c>
      <c r="H18" s="9" t="s">
        <v>339</v>
      </c>
      <c r="I18" s="3" t="s">
        <v>340</v>
      </c>
      <c r="J18" s="3" t="s">
        <v>340</v>
      </c>
      <c r="K18" s="9" t="s">
        <v>341</v>
      </c>
      <c r="L18" s="9" t="s">
        <v>342</v>
      </c>
      <c r="M18" s="9" t="s">
        <v>342</v>
      </c>
      <c r="N18" s="9" t="s">
        <v>343</v>
      </c>
      <c r="O18" s="12" t="s">
        <v>344</v>
      </c>
      <c r="P18" s="9" t="s">
        <v>345</v>
      </c>
      <c r="Q18" s="3" t="s">
        <v>346</v>
      </c>
      <c r="R18" s="3" t="s">
        <v>347</v>
      </c>
      <c r="S18" s="9" t="s">
        <v>344</v>
      </c>
      <c r="T18" s="3" t="s">
        <v>348</v>
      </c>
      <c r="U18" s="2"/>
      <c r="V18" s="3" t="s">
        <v>326</v>
      </c>
      <c r="W18" s="3"/>
      <c r="X18" s="3" t="s">
        <v>327</v>
      </c>
      <c r="Y18" s="3"/>
      <c r="Z18" s="3" t="s">
        <v>329</v>
      </c>
      <c r="AA18" s="2"/>
      <c r="AB18" s="8" t="s">
        <v>326</v>
      </c>
      <c r="AC18" s="3"/>
      <c r="AD18" s="8" t="s">
        <v>327</v>
      </c>
      <c r="AE18" s="3" t="s">
        <v>328</v>
      </c>
      <c r="AF18" s="8" t="s">
        <v>329</v>
      </c>
      <c r="AG18" s="7" t="s">
        <v>349</v>
      </c>
      <c r="AH18" s="7" t="s">
        <v>350</v>
      </c>
      <c r="AI18" s="7"/>
      <c r="AJ18" s="7" t="s">
        <v>349</v>
      </c>
      <c r="AK18" s="7" t="s">
        <v>351</v>
      </c>
      <c r="AL18" s="7" t="s">
        <v>352</v>
      </c>
      <c r="AM18" s="7"/>
      <c r="AN18" s="7" t="s">
        <v>351</v>
      </c>
    </row>
    <row r="19" customFormat="false" ht="12.8" hidden="false" customHeight="false" outlineLevel="0" collapsed="false">
      <c r="A19" s="1" t="s">
        <v>78</v>
      </c>
      <c r="B19" s="11" t="s">
        <v>353</v>
      </c>
      <c r="C19" s="8" t="s">
        <v>54</v>
      </c>
      <c r="D19" s="8" t="s">
        <v>55</v>
      </c>
      <c r="E19" s="8" t="s">
        <v>56</v>
      </c>
      <c r="F19" s="8" t="s">
        <v>57</v>
      </c>
      <c r="G19" s="8" t="s">
        <v>58</v>
      </c>
      <c r="H19" s="8" t="s">
        <v>59</v>
      </c>
      <c r="I19" s="8" t="s">
        <v>60</v>
      </c>
      <c r="J19" s="8" t="s">
        <v>60</v>
      </c>
      <c r="K19" s="8" t="s">
        <v>61</v>
      </c>
      <c r="L19" s="8" t="s">
        <v>62</v>
      </c>
      <c r="M19" s="8" t="s">
        <v>62</v>
      </c>
      <c r="N19" s="9" t="s">
        <v>63</v>
      </c>
      <c r="O19" s="9" t="s">
        <v>68</v>
      </c>
      <c r="P19" s="9" t="s">
        <v>65</v>
      </c>
      <c r="Q19" s="9" t="s">
        <v>66</v>
      </c>
      <c r="R19" s="9" t="s">
        <v>67</v>
      </c>
      <c r="S19" s="9" t="s">
        <v>354</v>
      </c>
      <c r="T19" s="3"/>
      <c r="U19" s="2"/>
      <c r="V19" s="3" t="s">
        <v>69</v>
      </c>
      <c r="W19" s="3"/>
      <c r="X19" s="3" t="s">
        <v>70</v>
      </c>
      <c r="Y19" s="3"/>
      <c r="Z19" s="3" t="s">
        <v>71</v>
      </c>
      <c r="AA19" s="2"/>
      <c r="AB19" s="8" t="s">
        <v>69</v>
      </c>
      <c r="AC19" s="9"/>
      <c r="AD19" s="8" t="s">
        <v>70</v>
      </c>
      <c r="AE19" s="9" t="s">
        <v>72</v>
      </c>
      <c r="AF19" s="8" t="s">
        <v>71</v>
      </c>
      <c r="AG19" s="7" t="s">
        <v>73</v>
      </c>
      <c r="AH19" s="7" t="s">
        <v>74</v>
      </c>
      <c r="AI19" s="7"/>
      <c r="AJ19" s="7" t="s">
        <v>355</v>
      </c>
      <c r="AK19" s="7" t="s">
        <v>75</v>
      </c>
      <c r="AL19" s="7" t="s">
        <v>76</v>
      </c>
      <c r="AM19" s="7"/>
      <c r="AN19" s="7" t="s">
        <v>77</v>
      </c>
    </row>
    <row r="20" customFormat="false" ht="12.8" hidden="false" customHeight="false" outlineLevel="0" collapsed="false">
      <c r="A20" s="1" t="s">
        <v>53</v>
      </c>
      <c r="B20" s="13" t="s">
        <v>12</v>
      </c>
      <c r="C20" s="9" t="s">
        <v>275</v>
      </c>
      <c r="D20" s="9" t="s">
        <v>261</v>
      </c>
      <c r="E20" s="9" t="s">
        <v>276</v>
      </c>
      <c r="F20" s="9" t="s">
        <v>278</v>
      </c>
      <c r="G20" s="9" t="s">
        <v>277</v>
      </c>
      <c r="H20" s="9" t="s">
        <v>279</v>
      </c>
      <c r="I20" s="3" t="s">
        <v>280</v>
      </c>
      <c r="J20" s="3" t="s">
        <v>280</v>
      </c>
      <c r="K20" s="3" t="s">
        <v>356</v>
      </c>
      <c r="L20" s="3" t="s">
        <v>357</v>
      </c>
      <c r="M20" s="3" t="s">
        <v>357</v>
      </c>
      <c r="N20" s="9" t="s">
        <v>282</v>
      </c>
      <c r="O20" s="12" t="s">
        <v>271</v>
      </c>
      <c r="P20" s="9" t="s">
        <v>283</v>
      </c>
      <c r="Q20" s="9" t="s">
        <v>358</v>
      </c>
      <c r="R20" s="9" t="s">
        <v>359</v>
      </c>
      <c r="S20" s="9" t="s">
        <v>271</v>
      </c>
      <c r="T20" s="3"/>
      <c r="U20" s="2"/>
      <c r="V20" s="3"/>
      <c r="W20" s="3"/>
      <c r="X20" s="3"/>
      <c r="Y20" s="3"/>
      <c r="Z20" s="3"/>
      <c r="AA20" s="2"/>
      <c r="AB20" s="9"/>
      <c r="AC20" s="9"/>
      <c r="AD20" s="9"/>
      <c r="AE20" s="9"/>
      <c r="AF20" s="9"/>
      <c r="AG20" s="7"/>
      <c r="AH20" s="7"/>
      <c r="AI20" s="7"/>
      <c r="AJ20" s="7"/>
      <c r="AK20" s="7"/>
      <c r="AL20" s="7"/>
      <c r="AM20" s="7"/>
      <c r="AN20" s="7"/>
    </row>
    <row r="21" customFormat="false" ht="12.8" hidden="false" customHeight="false" outlineLevel="0" collapsed="false">
      <c r="A21" s="1" t="s">
        <v>78</v>
      </c>
      <c r="B21" s="11" t="s">
        <v>9</v>
      </c>
      <c r="C21" s="8" t="s">
        <v>360</v>
      </c>
      <c r="D21" s="8" t="s">
        <v>361</v>
      </c>
      <c r="E21" s="8" t="s">
        <v>362</v>
      </c>
      <c r="F21" s="8" t="s">
        <v>363</v>
      </c>
      <c r="G21" s="8" t="s">
        <v>364</v>
      </c>
      <c r="H21" s="3" t="s">
        <v>365</v>
      </c>
      <c r="I21" s="9" t="s">
        <v>366</v>
      </c>
      <c r="J21" s="9" t="s">
        <v>366</v>
      </c>
      <c r="K21" s="12" t="s">
        <v>367</v>
      </c>
      <c r="L21" s="14"/>
      <c r="M21" s="14"/>
      <c r="N21" s="9" t="s">
        <v>368</v>
      </c>
      <c r="O21" s="17" t="s">
        <v>369</v>
      </c>
      <c r="P21" s="9" t="s">
        <v>370</v>
      </c>
      <c r="Q21" s="9" t="s">
        <v>371</v>
      </c>
      <c r="R21" s="9" t="s">
        <v>372</v>
      </c>
      <c r="S21" s="9" t="s">
        <v>367</v>
      </c>
      <c r="T21" s="3"/>
      <c r="U21" s="2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7"/>
      <c r="AH21" s="7"/>
      <c r="AI21" s="7"/>
      <c r="AJ21" s="7"/>
      <c r="AK21" s="7"/>
      <c r="AL21" s="7"/>
      <c r="AM21" s="7"/>
      <c r="AN21" s="7"/>
    </row>
    <row r="22" customFormat="false" ht="12.8" hidden="false" customHeight="false" outlineLevel="0" collapsed="false">
      <c r="A22" s="1" t="s">
        <v>53</v>
      </c>
      <c r="B22" s="13" t="s">
        <v>47</v>
      </c>
      <c r="C22" s="8" t="s">
        <v>373</v>
      </c>
      <c r="D22" s="9" t="s">
        <v>374</v>
      </c>
      <c r="E22" s="9" t="s">
        <v>155</v>
      </c>
      <c r="F22" s="9" t="s">
        <v>375</v>
      </c>
      <c r="G22" s="9" t="s">
        <v>376</v>
      </c>
      <c r="H22" s="9" t="s">
        <v>377</v>
      </c>
      <c r="I22" s="3" t="s">
        <v>378</v>
      </c>
      <c r="J22" s="3" t="s">
        <v>378</v>
      </c>
      <c r="K22" s="3" t="s">
        <v>379</v>
      </c>
      <c r="L22" s="3" t="s">
        <v>161</v>
      </c>
      <c r="M22" s="3" t="s">
        <v>161</v>
      </c>
      <c r="N22" s="9" t="s">
        <v>380</v>
      </c>
      <c r="O22" s="9" t="s">
        <v>381</v>
      </c>
      <c r="P22" s="18" t="s">
        <v>164</v>
      </c>
      <c r="Q22" s="3" t="s">
        <v>382</v>
      </c>
      <c r="R22" s="3" t="s">
        <v>383</v>
      </c>
      <c r="S22" s="9" t="s">
        <v>164</v>
      </c>
      <c r="T22" s="3" t="s">
        <v>164</v>
      </c>
      <c r="U22" s="2"/>
      <c r="V22" s="3"/>
      <c r="W22" s="3"/>
      <c r="X22" s="3"/>
      <c r="Y22" s="3"/>
      <c r="Z22" s="3"/>
      <c r="AA22" s="2"/>
      <c r="AB22" s="9"/>
      <c r="AC22" s="9"/>
      <c r="AD22" s="9"/>
      <c r="AE22" s="9"/>
      <c r="AF22" s="9"/>
      <c r="AG22" s="7"/>
      <c r="AH22" s="7"/>
      <c r="AI22" s="7"/>
      <c r="AJ22" s="7"/>
      <c r="AK22" s="7"/>
      <c r="AL22" s="7"/>
      <c r="AM22" s="7"/>
      <c r="AN22" s="7"/>
    </row>
    <row r="23" customFormat="false" ht="12.8" hidden="false" customHeight="false" outlineLevel="0" collapsed="false">
      <c r="A23" s="1" t="s">
        <v>78</v>
      </c>
      <c r="B23" s="11" t="s">
        <v>384</v>
      </c>
      <c r="C23" s="8" t="s">
        <v>199</v>
      </c>
      <c r="D23" s="14"/>
      <c r="E23" s="8" t="s">
        <v>200</v>
      </c>
      <c r="F23" s="14"/>
      <c r="G23" s="8" t="s">
        <v>201</v>
      </c>
      <c r="H23" s="9" t="s">
        <v>202</v>
      </c>
      <c r="I23" s="3" t="s">
        <v>203</v>
      </c>
      <c r="J23" s="3" t="s">
        <v>203</v>
      </c>
      <c r="K23" s="14"/>
      <c r="L23" s="9" t="s">
        <v>204</v>
      </c>
      <c r="M23" s="9" t="s">
        <v>204</v>
      </c>
      <c r="N23" s="9" t="s">
        <v>205</v>
      </c>
      <c r="O23" s="14"/>
      <c r="P23" s="9" t="s">
        <v>206</v>
      </c>
      <c r="Q23" s="14"/>
      <c r="R23" s="3" t="s">
        <v>207</v>
      </c>
      <c r="S23" s="9" t="s">
        <v>385</v>
      </c>
      <c r="T23" s="3"/>
      <c r="U23" s="2"/>
      <c r="V23" s="3"/>
      <c r="W23" s="3"/>
      <c r="X23" s="3"/>
      <c r="Y23" s="3"/>
      <c r="Z23" s="3"/>
      <c r="AA23" s="2"/>
      <c r="AB23" s="9"/>
      <c r="AC23" s="9"/>
      <c r="AD23" s="9"/>
      <c r="AE23" s="9"/>
      <c r="AF23" s="9"/>
      <c r="AG23" s="7"/>
      <c r="AH23" s="7"/>
      <c r="AI23" s="7"/>
      <c r="AJ23" s="7"/>
      <c r="AK23" s="7"/>
      <c r="AL23" s="7"/>
      <c r="AM23" s="7"/>
      <c r="AN23" s="7"/>
    </row>
    <row r="24" customFormat="false" ht="12.8" hidden="false" customHeight="false" outlineLevel="0" collapsed="false">
      <c r="A24" s="1" t="s">
        <v>78</v>
      </c>
      <c r="B24" s="11" t="s">
        <v>5</v>
      </c>
      <c r="C24" s="3" t="s">
        <v>386</v>
      </c>
      <c r="D24" s="3" t="s">
        <v>387</v>
      </c>
      <c r="E24" s="3" t="s">
        <v>388</v>
      </c>
      <c r="F24" s="3" t="s">
        <v>389</v>
      </c>
      <c r="G24" s="3" t="s">
        <v>390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3"/>
      <c r="T24" s="3"/>
      <c r="U24" s="2"/>
      <c r="V24" s="9" t="s">
        <v>391</v>
      </c>
      <c r="W24" s="9"/>
      <c r="X24" s="9" t="s">
        <v>392</v>
      </c>
      <c r="Y24" s="19"/>
      <c r="Z24" s="9" t="s">
        <v>393</v>
      </c>
      <c r="AA24" s="2"/>
      <c r="AB24" s="9"/>
      <c r="AC24" s="9"/>
      <c r="AD24" s="9"/>
      <c r="AE24" s="9"/>
      <c r="AF24" s="9"/>
      <c r="AG24" s="7"/>
      <c r="AH24" s="7"/>
      <c r="AI24" s="7"/>
      <c r="AJ24" s="7"/>
      <c r="AK24" s="7"/>
      <c r="AL24" s="7"/>
      <c r="AM24" s="7"/>
      <c r="AN24" s="7"/>
    </row>
    <row r="25" customFormat="false" ht="12.8" hidden="false" customHeight="false" outlineLevel="0" collapsed="false">
      <c r="B25" s="1" t="s">
        <v>10</v>
      </c>
      <c r="C25" s="3" t="s">
        <v>394</v>
      </c>
      <c r="D25" s="2"/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customFormat="false" ht="12.8" hidden="false" customHeight="false" outlineLevel="0" collapsed="false">
      <c r="B26" s="1" t="s">
        <v>395</v>
      </c>
      <c r="C26" s="2" t="s">
        <v>396</v>
      </c>
      <c r="F26" s="2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</row>
    <row r="27" customFormat="false" ht="12.8" hidden="false" customHeight="false" outlineLevel="0" collapsed="false">
      <c r="B27" s="1" t="s">
        <v>397</v>
      </c>
      <c r="C27" s="2" t="s">
        <v>398</v>
      </c>
      <c r="F27" s="2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</row>
    <row r="28" customFormat="false" ht="12.8" hidden="false" customHeight="false" outlineLevel="0" collapsed="false">
      <c r="B28" s="7" t="s">
        <v>3</v>
      </c>
      <c r="C28" s="3" t="s">
        <v>394</v>
      </c>
    </row>
    <row r="30" customFormat="false" ht="12.8" hidden="false" customHeight="false" outlineLevel="0" collapsed="false">
      <c r="B30" s="1" t="s">
        <v>399</v>
      </c>
      <c r="C30" s="1" t="s">
        <v>400</v>
      </c>
    </row>
    <row r="31" customFormat="false" ht="12.8" hidden="false" customHeight="false" outlineLevel="0" collapsed="false">
      <c r="B31" s="1" t="s">
        <v>401</v>
      </c>
      <c r="C31" s="1" t="s">
        <v>402</v>
      </c>
    </row>
    <row r="42" customFormat="false" ht="12.8" hidden="false" customHeight="false" outlineLevel="0" collapsed="false">
      <c r="B42" s="1" t="s">
        <v>403</v>
      </c>
      <c r="D42" s="1" t="s">
        <v>396</v>
      </c>
    </row>
    <row r="43" customFormat="false" ht="12.8" hidden="false" customHeight="false" outlineLevel="0" collapsed="false">
      <c r="B43" s="1" t="s">
        <v>404</v>
      </c>
      <c r="E43" s="1" t="s">
        <v>405</v>
      </c>
    </row>
    <row r="44" customFormat="false" ht="12.8" hidden="false" customHeight="false" outlineLevel="0" collapsed="false">
      <c r="B44" s="1" t="s">
        <v>406</v>
      </c>
      <c r="E44" s="1" t="s">
        <v>407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31" activeCellId="1" sqref="AS19:CI24 M3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.34"/>
    <col collapsed="false" customWidth="true" hidden="false" outlineLevel="0" max="2" min="2" style="1" width="9.09"/>
    <col collapsed="false" customWidth="true" hidden="false" outlineLevel="0" max="11" min="3" style="1" width="4.34"/>
    <col collapsed="false" customWidth="true" hidden="false" outlineLevel="0" max="21" min="12" style="1" width="6.12"/>
    <col collapsed="false" customWidth="true" hidden="false" outlineLevel="0" max="22" min="22" style="1" width="6.85"/>
    <col collapsed="false" customWidth="true" hidden="false" outlineLevel="0" max="23" min="23" style="1" width="6.92"/>
    <col collapsed="false" customWidth="true" hidden="false" outlineLevel="0" max="38" min="24" style="1" width="4.34"/>
    <col collapsed="false" customWidth="true" hidden="false" outlineLevel="0" max="43" min="39" style="1" width="6.92"/>
    <col collapsed="false" customWidth="true" hidden="false" outlineLevel="0" max="44" min="44" style="1" width="3.54"/>
    <col collapsed="false" customWidth="true" hidden="false" outlineLevel="0" max="47" min="45" style="1" width="6.92"/>
  </cols>
  <sheetData>
    <row r="1" customFormat="false" ht="13" hidden="false" customHeight="false" outlineLevel="0" collapsed="false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8</v>
      </c>
      <c r="I1" s="2" t="s">
        <v>3</v>
      </c>
      <c r="J1" s="2"/>
      <c r="K1" s="2" t="s">
        <v>47</v>
      </c>
      <c r="L1" s="2" t="s">
        <v>6</v>
      </c>
      <c r="M1" s="2" t="s">
        <v>7</v>
      </c>
      <c r="N1" s="2" t="s">
        <v>9</v>
      </c>
      <c r="O1" s="2" t="s">
        <v>10</v>
      </c>
      <c r="P1" s="2" t="s">
        <v>12</v>
      </c>
      <c r="Q1" s="2" t="s">
        <v>13</v>
      </c>
      <c r="R1" s="2"/>
      <c r="S1" s="2" t="s">
        <v>14</v>
      </c>
      <c r="T1" s="2" t="s">
        <v>15</v>
      </c>
      <c r="U1" s="2" t="s">
        <v>16</v>
      </c>
      <c r="V1" s="3" t="s">
        <v>17</v>
      </c>
      <c r="W1" s="3" t="s">
        <v>18</v>
      </c>
      <c r="X1" s="2"/>
      <c r="Z1" s="1" t="s">
        <v>27</v>
      </c>
      <c r="AA1" s="1" t="s">
        <v>28</v>
      </c>
      <c r="AB1" s="1" t="s">
        <v>408</v>
      </c>
      <c r="AC1" s="1" t="s">
        <v>409</v>
      </c>
      <c r="AD1" s="1" t="s">
        <v>410</v>
      </c>
      <c r="AM1" s="2" t="s">
        <v>19</v>
      </c>
      <c r="AN1" s="2" t="s">
        <v>20</v>
      </c>
      <c r="AO1" s="2" t="s">
        <v>21</v>
      </c>
      <c r="AP1" s="2" t="s">
        <v>22</v>
      </c>
      <c r="AQ1" s="1" t="s">
        <v>23</v>
      </c>
      <c r="AR1" s="1" t="s">
        <v>411</v>
      </c>
      <c r="AS1" s="1" t="s">
        <v>24</v>
      </c>
      <c r="AT1" s="1" t="s">
        <v>25</v>
      </c>
      <c r="AU1" s="1" t="s">
        <v>26</v>
      </c>
    </row>
    <row r="2" customFormat="false" ht="12.8" hidden="false" customHeight="false" outlineLevel="0" collapsed="false">
      <c r="C2" s="4" t="s">
        <v>1</v>
      </c>
      <c r="D2" s="5" t="s">
        <v>2</v>
      </c>
      <c r="E2" s="6" t="s">
        <v>14</v>
      </c>
      <c r="F2" s="5" t="s">
        <v>11</v>
      </c>
      <c r="G2" s="5" t="s">
        <v>45</v>
      </c>
      <c r="H2" s="4" t="s">
        <v>8</v>
      </c>
      <c r="I2" s="21" t="s">
        <v>209</v>
      </c>
      <c r="J2" s="4" t="s">
        <v>284</v>
      </c>
      <c r="K2" s="4" t="s">
        <v>105</v>
      </c>
      <c r="L2" s="4" t="s">
        <v>6</v>
      </c>
      <c r="M2" s="4" t="s">
        <v>7</v>
      </c>
      <c r="N2" s="4" t="s">
        <v>9</v>
      </c>
      <c r="O2" s="4" t="s">
        <v>10</v>
      </c>
      <c r="P2" s="5" t="s">
        <v>13</v>
      </c>
      <c r="Q2" s="5" t="s">
        <v>12</v>
      </c>
      <c r="R2" s="5"/>
      <c r="S2" s="5" t="s">
        <v>47</v>
      </c>
      <c r="T2" s="5" t="s">
        <v>15</v>
      </c>
      <c r="U2" s="5" t="s">
        <v>16</v>
      </c>
      <c r="V2" s="3"/>
      <c r="W2" s="3"/>
      <c r="X2" s="2"/>
      <c r="Y2" s="2"/>
      <c r="Z2" s="3" t="s">
        <v>27</v>
      </c>
      <c r="AA2" s="3" t="s">
        <v>28</v>
      </c>
      <c r="AB2" s="3" t="s">
        <v>29</v>
      </c>
      <c r="AC2" s="3" t="s">
        <v>30</v>
      </c>
      <c r="AD2" s="3" t="s">
        <v>31</v>
      </c>
      <c r="AE2" s="2"/>
      <c r="AF2" s="2"/>
      <c r="AG2" s="3" t="s">
        <v>412</v>
      </c>
      <c r="AH2" s="3" t="s">
        <v>413</v>
      </c>
      <c r="AI2" s="3" t="s">
        <v>24</v>
      </c>
      <c r="AJ2" s="3" t="s">
        <v>414</v>
      </c>
      <c r="AK2" s="3" t="s">
        <v>415</v>
      </c>
      <c r="AL2" s="3" t="s">
        <v>416</v>
      </c>
      <c r="AM2" s="4" t="s">
        <v>19</v>
      </c>
      <c r="AN2" s="4" t="s">
        <v>20</v>
      </c>
      <c r="AO2" s="4" t="s">
        <v>21</v>
      </c>
      <c r="AP2" s="4" t="s">
        <v>22</v>
      </c>
      <c r="AQ2" s="5" t="s">
        <v>411</v>
      </c>
      <c r="AR2" s="5" t="s">
        <v>23</v>
      </c>
      <c r="AS2" s="5" t="s">
        <v>417</v>
      </c>
      <c r="AT2" s="5" t="s">
        <v>25</v>
      </c>
      <c r="AU2" s="5" t="s">
        <v>26</v>
      </c>
    </row>
    <row r="3" customFormat="false" ht="12.8" hidden="false" customHeight="false" outlineLevel="0" collapsed="false">
      <c r="B3" s="1" t="s">
        <v>418</v>
      </c>
      <c r="C3" s="4" t="s">
        <v>1</v>
      </c>
      <c r="D3" s="5" t="s">
        <v>2</v>
      </c>
      <c r="E3" s="6" t="s">
        <v>14</v>
      </c>
      <c r="F3" s="5" t="s">
        <v>11</v>
      </c>
      <c r="G3" s="5" t="s">
        <v>45</v>
      </c>
      <c r="H3" s="4" t="s">
        <v>209</v>
      </c>
      <c r="I3" s="21" t="s">
        <v>8</v>
      </c>
      <c r="J3" s="4" t="s">
        <v>5</v>
      </c>
      <c r="K3" s="4" t="s">
        <v>105</v>
      </c>
      <c r="L3" s="4" t="s">
        <v>6</v>
      </c>
      <c r="M3" s="4" t="s">
        <v>7</v>
      </c>
      <c r="N3" s="4" t="s">
        <v>9</v>
      </c>
      <c r="O3" s="4" t="s">
        <v>10</v>
      </c>
      <c r="P3" s="5" t="s">
        <v>13</v>
      </c>
      <c r="Q3" s="5"/>
      <c r="R3" s="5" t="s">
        <v>4</v>
      </c>
      <c r="S3" s="5" t="s">
        <v>47</v>
      </c>
      <c r="T3" s="5" t="s">
        <v>15</v>
      </c>
      <c r="U3" s="5" t="s">
        <v>16</v>
      </c>
      <c r="V3" s="3"/>
      <c r="W3" s="3"/>
      <c r="X3" s="2"/>
      <c r="Y3" s="2"/>
      <c r="Z3" s="3"/>
      <c r="AA3" s="3"/>
      <c r="AB3" s="3"/>
      <c r="AC3" s="3"/>
      <c r="AD3" s="3"/>
      <c r="AE3" s="2"/>
      <c r="AF3" s="2"/>
      <c r="AG3" s="3"/>
      <c r="AH3" s="3"/>
      <c r="AI3" s="3"/>
      <c r="AJ3" s="3"/>
      <c r="AK3" s="3"/>
      <c r="AL3" s="3"/>
      <c r="AM3" s="4"/>
      <c r="AN3" s="4"/>
      <c r="AO3" s="4"/>
      <c r="AP3" s="4"/>
      <c r="AQ3" s="5"/>
      <c r="AR3" s="5"/>
      <c r="AS3" s="5"/>
      <c r="AT3" s="5"/>
      <c r="AU3" s="5"/>
    </row>
    <row r="4" customFormat="false" ht="12.8" hidden="false" customHeight="false" outlineLevel="0" collapsed="false">
      <c r="B4" s="7"/>
      <c r="C4" s="8" t="s">
        <v>48</v>
      </c>
      <c r="D4" s="8" t="s">
        <v>49</v>
      </c>
      <c r="E4" s="8" t="s">
        <v>50</v>
      </c>
      <c r="F4" s="8" t="s">
        <v>51</v>
      </c>
      <c r="G4" s="8" t="s">
        <v>52</v>
      </c>
      <c r="H4" s="3"/>
      <c r="I4" s="3"/>
      <c r="J4" s="3"/>
      <c r="K4" s="3"/>
      <c r="L4" s="9"/>
      <c r="M4" s="3"/>
      <c r="N4" s="3"/>
      <c r="O4" s="3"/>
      <c r="P4" s="9"/>
      <c r="Q4" s="9"/>
      <c r="R4" s="9"/>
      <c r="S4" s="9"/>
      <c r="T4" s="3"/>
      <c r="U4" s="3"/>
      <c r="V4" s="3"/>
      <c r="W4" s="7"/>
      <c r="Y4" s="2"/>
      <c r="Z4" s="3"/>
      <c r="AA4" s="3"/>
      <c r="AB4" s="3"/>
      <c r="AC4" s="3"/>
      <c r="AD4" s="3"/>
      <c r="AE4" s="2"/>
      <c r="AF4" s="2"/>
      <c r="AG4" s="3"/>
      <c r="AH4" s="3"/>
      <c r="AI4" s="3"/>
      <c r="AJ4" s="3"/>
      <c r="AK4" s="3"/>
      <c r="AL4" s="3"/>
      <c r="AM4" s="7"/>
      <c r="AN4" s="7"/>
      <c r="AO4" s="7"/>
      <c r="AP4" s="7"/>
      <c r="AQ4" s="7"/>
      <c r="AR4" s="7"/>
      <c r="AS4" s="7"/>
      <c r="AT4" s="7"/>
      <c r="AU4" s="7"/>
    </row>
    <row r="5" customFormat="false" ht="12.8" hidden="false" customHeight="false" outlineLevel="0" collapsed="false">
      <c r="A5" s="1" t="s">
        <v>53</v>
      </c>
      <c r="B5" s="10" t="s">
        <v>4</v>
      </c>
      <c r="C5" s="9" t="s">
        <v>54</v>
      </c>
      <c r="D5" s="9" t="s">
        <v>55</v>
      </c>
      <c r="E5" s="9" t="s">
        <v>56</v>
      </c>
      <c r="F5" s="9" t="s">
        <v>57</v>
      </c>
      <c r="G5" s="9" t="s">
        <v>58</v>
      </c>
      <c r="H5" s="22" t="s">
        <v>55</v>
      </c>
      <c r="I5" s="23" t="s">
        <v>56</v>
      </c>
      <c r="J5" s="22" t="s">
        <v>57</v>
      </c>
      <c r="K5" s="24" t="s">
        <v>58</v>
      </c>
      <c r="L5" s="9" t="s">
        <v>59</v>
      </c>
      <c r="M5" s="9" t="s">
        <v>60</v>
      </c>
      <c r="N5" s="9" t="s">
        <v>61</v>
      </c>
      <c r="O5" s="9" t="s">
        <v>62</v>
      </c>
      <c r="P5" s="9" t="s">
        <v>63</v>
      </c>
      <c r="Q5" s="9" t="s">
        <v>68</v>
      </c>
      <c r="R5" s="9" t="s">
        <v>64</v>
      </c>
      <c r="S5" s="9" t="s">
        <v>65</v>
      </c>
      <c r="T5" s="3" t="s">
        <v>66</v>
      </c>
      <c r="U5" s="9" t="s">
        <v>67</v>
      </c>
      <c r="V5" s="8" t="s">
        <v>64</v>
      </c>
      <c r="W5" s="9" t="s">
        <v>68</v>
      </c>
      <c r="X5" s="2"/>
      <c r="Y5" s="2"/>
      <c r="Z5" s="3" t="s">
        <v>69</v>
      </c>
      <c r="AA5" s="3"/>
      <c r="AB5" s="3" t="s">
        <v>70</v>
      </c>
      <c r="AC5" s="3"/>
      <c r="AD5" s="3" t="s">
        <v>71</v>
      </c>
      <c r="AE5" s="2"/>
      <c r="AF5" s="2"/>
      <c r="AG5" s="9" t="s">
        <v>69</v>
      </c>
      <c r="AH5" s="9"/>
      <c r="AI5" s="9" t="s">
        <v>70</v>
      </c>
      <c r="AJ5" s="9" t="s">
        <v>70</v>
      </c>
      <c r="AK5" s="9" t="s">
        <v>72</v>
      </c>
      <c r="AL5" s="9" t="s">
        <v>71</v>
      </c>
      <c r="AM5" s="7" t="s">
        <v>73</v>
      </c>
      <c r="AN5" s="7" t="s">
        <v>74</v>
      </c>
      <c r="AO5" s="7"/>
      <c r="AP5" s="7" t="s">
        <v>73</v>
      </c>
      <c r="AQ5" s="7" t="s">
        <v>75</v>
      </c>
      <c r="AR5" s="7"/>
      <c r="AS5" s="7" t="s">
        <v>76</v>
      </c>
      <c r="AT5" s="7"/>
      <c r="AU5" s="7" t="s">
        <v>77</v>
      </c>
    </row>
    <row r="6" customFormat="false" ht="12.8" hidden="false" customHeight="false" outlineLevel="0" collapsed="false">
      <c r="A6" s="1" t="s">
        <v>78</v>
      </c>
      <c r="B6" s="11" t="s">
        <v>8</v>
      </c>
      <c r="C6" s="8" t="s">
        <v>79</v>
      </c>
      <c r="D6" s="8" t="s">
        <v>80</v>
      </c>
      <c r="E6" s="8" t="s">
        <v>81</v>
      </c>
      <c r="F6" s="8" t="s">
        <v>82</v>
      </c>
      <c r="G6" s="8" t="s">
        <v>83</v>
      </c>
      <c r="H6" s="24" t="s">
        <v>80</v>
      </c>
      <c r="I6" s="12" t="s">
        <v>86</v>
      </c>
      <c r="J6" s="24" t="s">
        <v>82</v>
      </c>
      <c r="K6" s="24" t="s">
        <v>83</v>
      </c>
      <c r="L6" s="9" t="s">
        <v>84</v>
      </c>
      <c r="M6" s="3" t="s">
        <v>85</v>
      </c>
      <c r="N6" s="3" t="s">
        <v>87</v>
      </c>
      <c r="O6" s="3" t="s">
        <v>88</v>
      </c>
      <c r="P6" s="9" t="s">
        <v>89</v>
      </c>
      <c r="Q6" s="9" t="s">
        <v>90</v>
      </c>
      <c r="R6" s="9" t="s">
        <v>90</v>
      </c>
      <c r="S6" s="9" t="s">
        <v>91</v>
      </c>
      <c r="T6" s="9" t="s">
        <v>92</v>
      </c>
      <c r="U6" s="9" t="s">
        <v>93</v>
      </c>
      <c r="V6" s="8" t="s">
        <v>86</v>
      </c>
      <c r="W6" s="3" t="s">
        <v>81</v>
      </c>
      <c r="X6" s="2"/>
      <c r="Y6" s="2"/>
      <c r="Z6" s="3" t="s">
        <v>94</v>
      </c>
      <c r="AA6" s="3"/>
      <c r="AB6" s="3" t="s">
        <v>95</v>
      </c>
      <c r="AC6" s="3"/>
      <c r="AD6" s="3" t="s">
        <v>96</v>
      </c>
      <c r="AE6" s="2"/>
      <c r="AF6" s="2"/>
      <c r="AG6" s="8" t="s">
        <v>94</v>
      </c>
      <c r="AH6" s="3"/>
      <c r="AI6" s="8" t="s">
        <v>95</v>
      </c>
      <c r="AJ6" s="8" t="s">
        <v>95</v>
      </c>
      <c r="AK6" s="3" t="s">
        <v>97</v>
      </c>
      <c r="AL6" s="8" t="s">
        <v>96</v>
      </c>
      <c r="AM6" s="7" t="s">
        <v>98</v>
      </c>
      <c r="AN6" s="7" t="s">
        <v>99</v>
      </c>
      <c r="AO6" s="7" t="s">
        <v>100</v>
      </c>
      <c r="AP6" s="7" t="s">
        <v>98</v>
      </c>
      <c r="AQ6" s="7" t="s">
        <v>101</v>
      </c>
      <c r="AR6" s="7"/>
      <c r="AS6" s="7" t="s">
        <v>102</v>
      </c>
      <c r="AT6" s="7" t="s">
        <v>103</v>
      </c>
      <c r="AU6" s="7" t="s">
        <v>104</v>
      </c>
    </row>
    <row r="7" customFormat="false" ht="13" hidden="false" customHeight="false" outlineLevel="0" collapsed="false">
      <c r="A7" s="1" t="s">
        <v>78</v>
      </c>
      <c r="B7" s="11" t="s">
        <v>105</v>
      </c>
      <c r="C7" s="8" t="s">
        <v>106</v>
      </c>
      <c r="D7" s="8" t="s">
        <v>107</v>
      </c>
      <c r="E7" s="8" t="s">
        <v>108</v>
      </c>
      <c r="F7" s="8" t="s">
        <v>109</v>
      </c>
      <c r="G7" s="8" t="s">
        <v>110</v>
      </c>
      <c r="H7" s="24" t="s">
        <v>107</v>
      </c>
      <c r="I7" s="8" t="s">
        <v>108</v>
      </c>
      <c r="J7" s="24" t="s">
        <v>109</v>
      </c>
      <c r="K7" s="12" t="s">
        <v>120</v>
      </c>
      <c r="L7" s="9" t="s">
        <v>111</v>
      </c>
      <c r="M7" s="3" t="s">
        <v>112</v>
      </c>
      <c r="N7" s="3" t="s">
        <v>113</v>
      </c>
      <c r="O7" s="3" t="s">
        <v>114</v>
      </c>
      <c r="P7" s="9" t="s">
        <v>115</v>
      </c>
      <c r="Q7" s="9" t="s">
        <v>116</v>
      </c>
      <c r="R7" s="9" t="s">
        <v>116</v>
      </c>
      <c r="S7" s="9" t="s">
        <v>117</v>
      </c>
      <c r="T7" s="9" t="s">
        <v>118</v>
      </c>
      <c r="U7" s="9" t="s">
        <v>119</v>
      </c>
      <c r="V7" s="8" t="s">
        <v>120</v>
      </c>
      <c r="W7" s="3" t="s">
        <v>106</v>
      </c>
      <c r="X7" s="2"/>
      <c r="Y7" s="2"/>
      <c r="Z7" s="3" t="s">
        <v>121</v>
      </c>
      <c r="AA7" s="3"/>
      <c r="AB7" s="3" t="s">
        <v>70</v>
      </c>
      <c r="AC7" s="3"/>
      <c r="AD7" s="3" t="s">
        <v>122</v>
      </c>
      <c r="AE7" s="2"/>
      <c r="AF7" s="2"/>
      <c r="AG7" s="8" t="s">
        <v>121</v>
      </c>
      <c r="AH7" s="3"/>
      <c r="AI7" s="8" t="s">
        <v>123</v>
      </c>
      <c r="AJ7" s="8" t="s">
        <v>123</v>
      </c>
      <c r="AK7" s="3" t="s">
        <v>124</v>
      </c>
      <c r="AL7" s="8" t="s">
        <v>122</v>
      </c>
      <c r="AM7" s="7" t="s">
        <v>125</v>
      </c>
      <c r="AN7" s="7" t="s">
        <v>126</v>
      </c>
      <c r="AO7" s="7"/>
      <c r="AP7" s="7" t="s">
        <v>125</v>
      </c>
      <c r="AQ7" s="7" t="s">
        <v>127</v>
      </c>
      <c r="AR7" s="7"/>
      <c r="AS7" s="7" t="s">
        <v>128</v>
      </c>
      <c r="AT7" s="7" t="s">
        <v>129</v>
      </c>
      <c r="AU7" s="7" t="s">
        <v>130</v>
      </c>
    </row>
    <row r="8" customFormat="false" ht="12.8" hidden="false" customHeight="false" outlineLevel="0" collapsed="false">
      <c r="A8" s="1" t="s">
        <v>53</v>
      </c>
      <c r="B8" s="13" t="s">
        <v>13</v>
      </c>
      <c r="C8" s="8" t="s">
        <v>131</v>
      </c>
      <c r="D8" s="8" t="s">
        <v>132</v>
      </c>
      <c r="E8" s="9" t="s">
        <v>133</v>
      </c>
      <c r="F8" s="8" t="s">
        <v>134</v>
      </c>
      <c r="G8" s="8" t="s">
        <v>135</v>
      </c>
      <c r="H8" s="9" t="s">
        <v>132</v>
      </c>
      <c r="I8" s="9" t="s">
        <v>133</v>
      </c>
      <c r="J8" s="9" t="s">
        <v>134</v>
      </c>
      <c r="K8" s="9" t="s">
        <v>135</v>
      </c>
      <c r="L8" s="9" t="s">
        <v>136</v>
      </c>
      <c r="M8" s="9" t="s">
        <v>137</v>
      </c>
      <c r="N8" s="9" t="s">
        <v>138</v>
      </c>
      <c r="O8" s="9" t="s">
        <v>139</v>
      </c>
      <c r="P8" s="12" t="s">
        <v>140</v>
      </c>
      <c r="Q8" s="9" t="s">
        <v>141</v>
      </c>
      <c r="R8" s="9" t="s">
        <v>141</v>
      </c>
      <c r="S8" s="9" t="s">
        <v>142</v>
      </c>
      <c r="T8" s="9" t="s">
        <v>143</v>
      </c>
      <c r="U8" s="9" t="s">
        <v>144</v>
      </c>
      <c r="V8" s="9" t="s">
        <v>140</v>
      </c>
      <c r="W8" s="3"/>
      <c r="X8" s="2"/>
      <c r="Y8" s="2"/>
      <c r="Z8" s="3" t="s">
        <v>145</v>
      </c>
      <c r="AA8" s="3"/>
      <c r="AB8" s="3" t="s">
        <v>146</v>
      </c>
      <c r="AC8" s="3" t="s">
        <v>147</v>
      </c>
      <c r="AD8" s="3" t="s">
        <v>148</v>
      </c>
      <c r="AE8" s="2"/>
      <c r="AF8" s="2"/>
      <c r="AG8" s="3" t="s">
        <v>145</v>
      </c>
      <c r="AH8" s="3"/>
      <c r="AI8" s="3" t="s">
        <v>146</v>
      </c>
      <c r="AJ8" s="3" t="s">
        <v>146</v>
      </c>
      <c r="AK8" s="3" t="s">
        <v>147</v>
      </c>
      <c r="AL8" s="3" t="s">
        <v>148</v>
      </c>
      <c r="AM8" s="7" t="s">
        <v>149</v>
      </c>
      <c r="AN8" s="7" t="s">
        <v>150</v>
      </c>
      <c r="AO8" s="7"/>
      <c r="AP8" s="7" t="s">
        <v>151</v>
      </c>
      <c r="AQ8" s="7" t="s">
        <v>152</v>
      </c>
      <c r="AR8" s="7"/>
      <c r="AS8" s="7"/>
      <c r="AT8" s="7"/>
      <c r="AU8" s="7"/>
    </row>
    <row r="9" customFormat="false" ht="12.8" hidden="false" customHeight="false" outlineLevel="0" collapsed="false">
      <c r="A9" s="1" t="s">
        <v>53</v>
      </c>
      <c r="B9" s="13" t="s">
        <v>16</v>
      </c>
      <c r="C9" s="8" t="s">
        <v>153</v>
      </c>
      <c r="D9" s="8" t="s">
        <v>154</v>
      </c>
      <c r="E9" s="9" t="s">
        <v>155</v>
      </c>
      <c r="F9" s="8" t="s">
        <v>156</v>
      </c>
      <c r="G9" s="8" t="s">
        <v>157</v>
      </c>
      <c r="H9" s="8" t="s">
        <v>157</v>
      </c>
      <c r="I9" s="8" t="s">
        <v>155</v>
      </c>
      <c r="J9" s="8" t="s">
        <v>156</v>
      </c>
      <c r="K9" s="8" t="s">
        <v>157</v>
      </c>
      <c r="L9" s="8" t="s">
        <v>158</v>
      </c>
      <c r="M9" s="8" t="s">
        <v>159</v>
      </c>
      <c r="N9" s="8" t="s">
        <v>160</v>
      </c>
      <c r="O9" s="8" t="s">
        <v>161</v>
      </c>
      <c r="P9" s="9" t="s">
        <v>162</v>
      </c>
      <c r="Q9" s="9" t="s">
        <v>163</v>
      </c>
      <c r="R9" s="9" t="s">
        <v>163</v>
      </c>
      <c r="S9" s="9" t="s">
        <v>164</v>
      </c>
      <c r="T9" s="9" t="s">
        <v>165</v>
      </c>
      <c r="U9" s="12" t="s">
        <v>166</v>
      </c>
      <c r="V9" s="9" t="s">
        <v>166</v>
      </c>
      <c r="W9" s="3" t="s">
        <v>167</v>
      </c>
      <c r="X9" s="2"/>
      <c r="Y9" s="2"/>
      <c r="Z9" s="3" t="s">
        <v>168</v>
      </c>
      <c r="AA9" s="3"/>
      <c r="AB9" s="3" t="s">
        <v>169</v>
      </c>
      <c r="AC9" s="3"/>
      <c r="AD9" s="9" t="s">
        <v>170</v>
      </c>
      <c r="AE9" s="2"/>
      <c r="AF9" s="2"/>
      <c r="AG9" s="8" t="s">
        <v>168</v>
      </c>
      <c r="AH9" s="3"/>
      <c r="AI9" s="8" t="s">
        <v>169</v>
      </c>
      <c r="AJ9" s="8" t="s">
        <v>169</v>
      </c>
      <c r="AK9" s="3" t="s">
        <v>171</v>
      </c>
      <c r="AL9" s="8" t="s">
        <v>170</v>
      </c>
      <c r="AM9" s="7" t="s">
        <v>172</v>
      </c>
      <c r="AN9" s="7" t="s">
        <v>173</v>
      </c>
      <c r="AO9" s="7"/>
      <c r="AP9" s="7" t="s">
        <v>172</v>
      </c>
      <c r="AQ9" s="7" t="s">
        <v>174</v>
      </c>
      <c r="AR9" s="7"/>
      <c r="AS9" s="7" t="s">
        <v>175</v>
      </c>
      <c r="AT9" s="7"/>
      <c r="AU9" s="7" t="s">
        <v>174</v>
      </c>
    </row>
    <row r="10" customFormat="false" ht="12.8" hidden="false" customHeight="false" outlineLevel="0" collapsed="false">
      <c r="A10" s="1" t="s">
        <v>53</v>
      </c>
      <c r="B10" s="13" t="s">
        <v>15</v>
      </c>
      <c r="C10" s="8" t="s">
        <v>176</v>
      </c>
      <c r="D10" s="9" t="s">
        <v>177</v>
      </c>
      <c r="E10" s="9" t="s">
        <v>178</v>
      </c>
      <c r="F10" s="9" t="s">
        <v>179</v>
      </c>
      <c r="G10" s="9" t="s">
        <v>180</v>
      </c>
      <c r="H10" s="8" t="s">
        <v>180</v>
      </c>
      <c r="I10" s="8" t="s">
        <v>178</v>
      </c>
      <c r="J10" s="8" t="s">
        <v>179</v>
      </c>
      <c r="K10" s="8" t="s">
        <v>180</v>
      </c>
      <c r="L10" s="8" t="s">
        <v>181</v>
      </c>
      <c r="M10" s="8" t="s">
        <v>182</v>
      </c>
      <c r="N10" s="8" t="s">
        <v>183</v>
      </c>
      <c r="O10" s="8" t="s">
        <v>184</v>
      </c>
      <c r="P10" s="9" t="s">
        <v>185</v>
      </c>
      <c r="Q10" s="9" t="s">
        <v>186</v>
      </c>
      <c r="R10" s="9" t="s">
        <v>186</v>
      </c>
      <c r="S10" s="9" t="s">
        <v>187</v>
      </c>
      <c r="T10" s="12" t="s">
        <v>188</v>
      </c>
      <c r="U10" s="9" t="s">
        <v>186</v>
      </c>
      <c r="V10" s="9" t="s">
        <v>188</v>
      </c>
      <c r="W10" s="3"/>
      <c r="X10" s="2"/>
      <c r="Y10" s="2"/>
      <c r="Z10" s="3" t="s">
        <v>189</v>
      </c>
      <c r="AA10" s="3"/>
      <c r="AB10" s="3" t="s">
        <v>190</v>
      </c>
      <c r="AC10" s="3"/>
      <c r="AD10" s="3" t="s">
        <v>191</v>
      </c>
      <c r="AE10" s="2"/>
      <c r="AF10" s="2"/>
      <c r="AG10" s="8" t="s">
        <v>189</v>
      </c>
      <c r="AH10" s="3"/>
      <c r="AI10" s="8" t="s">
        <v>190</v>
      </c>
      <c r="AJ10" s="8" t="s">
        <v>190</v>
      </c>
      <c r="AK10" s="3" t="s">
        <v>192</v>
      </c>
      <c r="AL10" s="8" t="s">
        <v>191</v>
      </c>
      <c r="AM10" s="7" t="s">
        <v>193</v>
      </c>
      <c r="AN10" s="7" t="s">
        <v>194</v>
      </c>
      <c r="AO10" s="7"/>
      <c r="AP10" s="7" t="s">
        <v>193</v>
      </c>
      <c r="AQ10" s="7" t="s">
        <v>195</v>
      </c>
      <c r="AR10" s="7"/>
      <c r="AS10" s="7" t="s">
        <v>196</v>
      </c>
      <c r="AT10" s="7"/>
      <c r="AU10" s="7" t="s">
        <v>197</v>
      </c>
    </row>
    <row r="11" customFormat="false" ht="12.8" hidden="false" customHeight="false" outlineLevel="0" collapsed="false">
      <c r="A11" s="1" t="s">
        <v>53</v>
      </c>
      <c r="B11" s="13" t="s">
        <v>198</v>
      </c>
      <c r="C11" s="9" t="s">
        <v>199</v>
      </c>
      <c r="D11" s="14"/>
      <c r="E11" s="9" t="s">
        <v>200</v>
      </c>
      <c r="F11" s="14"/>
      <c r="G11" s="9" t="s">
        <v>201</v>
      </c>
      <c r="H11" s="9" t="s">
        <v>201</v>
      </c>
      <c r="I11" s="9" t="s">
        <v>200</v>
      </c>
      <c r="J11" s="14"/>
      <c r="K11" s="9" t="s">
        <v>201</v>
      </c>
      <c r="L11" s="8" t="s">
        <v>202</v>
      </c>
      <c r="M11" s="8" t="s">
        <v>203</v>
      </c>
      <c r="N11" s="14"/>
      <c r="O11" s="9" t="s">
        <v>204</v>
      </c>
      <c r="P11" s="9" t="s">
        <v>205</v>
      </c>
      <c r="Q11" s="14"/>
      <c r="R11" s="14"/>
      <c r="S11" s="9" t="s">
        <v>206</v>
      </c>
      <c r="T11" s="14"/>
      <c r="U11" s="3" t="s">
        <v>207</v>
      </c>
      <c r="V11" s="9" t="s">
        <v>208</v>
      </c>
      <c r="W11" s="3"/>
      <c r="X11" s="2"/>
      <c r="Y11" s="2"/>
      <c r="Z11" s="3"/>
      <c r="AA11" s="3"/>
      <c r="AB11" s="3"/>
      <c r="AC11" s="3"/>
      <c r="AD11" s="3"/>
      <c r="AE11" s="2"/>
      <c r="AF11" s="2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</row>
    <row r="12" customFormat="false" ht="12.8" hidden="false" customHeight="false" outlineLevel="0" collapsed="false">
      <c r="A12" s="1" t="s">
        <v>78</v>
      </c>
      <c r="B12" s="13" t="s">
        <v>209</v>
      </c>
      <c r="C12" s="8" t="s">
        <v>210</v>
      </c>
      <c r="D12" s="8" t="s">
        <v>211</v>
      </c>
      <c r="E12" s="8" t="s">
        <v>212</v>
      </c>
      <c r="F12" s="8" t="s">
        <v>213</v>
      </c>
      <c r="G12" s="8" t="s">
        <v>214</v>
      </c>
      <c r="H12" s="12" t="s">
        <v>211</v>
      </c>
      <c r="I12" s="24" t="s">
        <v>212</v>
      </c>
      <c r="J12" s="9" t="s">
        <v>213</v>
      </c>
      <c r="K12" s="9" t="s">
        <v>214</v>
      </c>
      <c r="L12" s="9" t="s">
        <v>215</v>
      </c>
      <c r="M12" s="3" t="s">
        <v>216</v>
      </c>
      <c r="N12" s="3" t="s">
        <v>217</v>
      </c>
      <c r="O12" s="3" t="s">
        <v>218</v>
      </c>
      <c r="P12" s="9" t="s">
        <v>219</v>
      </c>
      <c r="Q12" s="9" t="s">
        <v>220</v>
      </c>
      <c r="R12" s="9" t="s">
        <v>220</v>
      </c>
      <c r="S12" s="9" t="s">
        <v>221</v>
      </c>
      <c r="T12" s="3" t="s">
        <v>222</v>
      </c>
      <c r="U12" s="3" t="s">
        <v>223</v>
      </c>
      <c r="V12" s="9" t="s">
        <v>211</v>
      </c>
      <c r="W12" s="3"/>
      <c r="X12" s="2"/>
      <c r="Y12" s="2"/>
      <c r="Z12" s="3" t="s">
        <v>224</v>
      </c>
      <c r="AA12" s="3"/>
      <c r="AB12" s="3" t="s">
        <v>225</v>
      </c>
      <c r="AC12" s="3"/>
      <c r="AD12" s="3" t="s">
        <v>226</v>
      </c>
      <c r="AE12" s="2"/>
      <c r="AF12" s="2"/>
      <c r="AG12" s="8" t="s">
        <v>224</v>
      </c>
      <c r="AH12" s="3"/>
      <c r="AI12" s="8" t="s">
        <v>225</v>
      </c>
      <c r="AJ12" s="8" t="s">
        <v>225</v>
      </c>
      <c r="AK12" s="3" t="s">
        <v>227</v>
      </c>
      <c r="AL12" s="8" t="s">
        <v>226</v>
      </c>
      <c r="AM12" s="7" t="s">
        <v>228</v>
      </c>
      <c r="AN12" s="7" t="s">
        <v>229</v>
      </c>
      <c r="AO12" s="7"/>
      <c r="AP12" s="7" t="s">
        <v>228</v>
      </c>
      <c r="AQ12" s="7" t="s">
        <v>230</v>
      </c>
      <c r="AR12" s="7"/>
      <c r="AS12" s="7" t="s">
        <v>231</v>
      </c>
      <c r="AT12" s="7"/>
      <c r="AU12" s="7" t="s">
        <v>230</v>
      </c>
    </row>
    <row r="13" customFormat="false" ht="12.8" hidden="false" customHeight="false" outlineLevel="0" collapsed="false">
      <c r="A13" s="1" t="s">
        <v>78</v>
      </c>
      <c r="B13" s="11" t="s">
        <v>6</v>
      </c>
      <c r="C13" s="8" t="s">
        <v>232</v>
      </c>
      <c r="D13" s="3" t="s">
        <v>233</v>
      </c>
      <c r="E13" s="14"/>
      <c r="F13" s="3" t="s">
        <v>234</v>
      </c>
      <c r="G13" s="8" t="s">
        <v>235</v>
      </c>
      <c r="H13" s="3"/>
      <c r="I13" s="14"/>
      <c r="J13" s="14"/>
      <c r="K13" s="3"/>
      <c r="L13" s="12" t="s">
        <v>236</v>
      </c>
      <c r="M13" s="3" t="s">
        <v>237</v>
      </c>
      <c r="N13" s="9" t="s">
        <v>238</v>
      </c>
      <c r="O13" s="9"/>
      <c r="P13" s="9" t="s">
        <v>239</v>
      </c>
      <c r="Q13" s="9" t="s">
        <v>240</v>
      </c>
      <c r="R13" s="9" t="s">
        <v>240</v>
      </c>
      <c r="S13" s="14"/>
      <c r="T13" s="9" t="s">
        <v>241</v>
      </c>
      <c r="U13" s="15" t="s">
        <v>242</v>
      </c>
      <c r="V13" s="9" t="s">
        <v>236</v>
      </c>
      <c r="W13" s="3"/>
      <c r="X13" s="2"/>
      <c r="Y13" s="2"/>
      <c r="Z13" s="3"/>
      <c r="AA13" s="3"/>
      <c r="AB13" s="3"/>
      <c r="AC13" s="3"/>
      <c r="AD13" s="3"/>
      <c r="AE13" s="2"/>
      <c r="AF13" s="2"/>
      <c r="AG13" s="3"/>
      <c r="AH13" s="3"/>
      <c r="AI13" s="3"/>
      <c r="AJ13" s="3"/>
      <c r="AK13" s="3"/>
      <c r="AL13" s="3"/>
      <c r="AM13" s="7"/>
      <c r="AN13" s="7"/>
      <c r="AO13" s="7"/>
      <c r="AP13" s="7"/>
      <c r="AQ13" s="7"/>
      <c r="AR13" s="7"/>
      <c r="AS13" s="7"/>
      <c r="AT13" s="7"/>
      <c r="AU13" s="7"/>
    </row>
    <row r="14" customFormat="false" ht="12.8" hidden="false" customHeight="false" outlineLevel="0" collapsed="false">
      <c r="A14" s="1" t="s">
        <v>78</v>
      </c>
      <c r="B14" s="11" t="s">
        <v>243</v>
      </c>
      <c r="C14" s="8" t="s">
        <v>244</v>
      </c>
      <c r="D14" s="8" t="s">
        <v>245</v>
      </c>
      <c r="E14" s="8" t="s">
        <v>246</v>
      </c>
      <c r="F14" s="8"/>
      <c r="G14" s="8" t="s">
        <v>247</v>
      </c>
      <c r="H14" s="24" t="s">
        <v>245</v>
      </c>
      <c r="I14" s="8" t="s">
        <v>246</v>
      </c>
      <c r="J14" s="24" t="s">
        <v>419</v>
      </c>
      <c r="K14" s="24" t="s">
        <v>247</v>
      </c>
      <c r="L14" s="9" t="s">
        <v>248</v>
      </c>
      <c r="M14" s="3" t="s">
        <v>249</v>
      </c>
      <c r="N14" s="3" t="s">
        <v>250</v>
      </c>
      <c r="O14" s="3" t="s">
        <v>251</v>
      </c>
      <c r="P14" s="9" t="s">
        <v>252</v>
      </c>
      <c r="Q14" s="9" t="s">
        <v>253</v>
      </c>
      <c r="R14" s="9" t="s">
        <v>253</v>
      </c>
      <c r="S14" s="9" t="s">
        <v>254</v>
      </c>
      <c r="T14" s="3" t="s">
        <v>255</v>
      </c>
      <c r="U14" s="16"/>
      <c r="V14" s="9" t="s">
        <v>256</v>
      </c>
      <c r="W14" s="3" t="s">
        <v>244</v>
      </c>
      <c r="X14" s="2"/>
      <c r="Y14" s="2"/>
      <c r="Z14" s="3" t="s">
        <v>257</v>
      </c>
      <c r="AA14" s="3"/>
      <c r="AB14" s="3" t="s">
        <v>258</v>
      </c>
      <c r="AC14" s="3"/>
      <c r="AD14" s="3" t="s">
        <v>259</v>
      </c>
      <c r="AE14" s="2"/>
      <c r="AF14" s="2"/>
      <c r="AG14" s="3"/>
      <c r="AH14" s="3"/>
      <c r="AI14" s="3"/>
      <c r="AJ14" s="3"/>
      <c r="AK14" s="3"/>
      <c r="AL14" s="3"/>
      <c r="AM14" s="7"/>
      <c r="AN14" s="7"/>
      <c r="AO14" s="7"/>
      <c r="AP14" s="7"/>
      <c r="AQ14" s="7"/>
      <c r="AR14" s="7"/>
      <c r="AS14" s="7"/>
      <c r="AT14" s="7"/>
      <c r="AU14" s="7"/>
    </row>
    <row r="15" customFormat="false" ht="12.8" hidden="false" customHeight="false" outlineLevel="0" collapsed="false">
      <c r="A15" s="1" t="s">
        <v>78</v>
      </c>
      <c r="B15" s="11" t="s">
        <v>7</v>
      </c>
      <c r="C15" s="9" t="s">
        <v>260</v>
      </c>
      <c r="D15" s="9" t="s">
        <v>261</v>
      </c>
      <c r="E15" s="9" t="s">
        <v>262</v>
      </c>
      <c r="F15" s="9" t="s">
        <v>263</v>
      </c>
      <c r="G15" s="9" t="s">
        <v>264</v>
      </c>
      <c r="H15" s="24" t="s">
        <v>261</v>
      </c>
      <c r="I15" s="8" t="s">
        <v>262</v>
      </c>
      <c r="J15" s="24" t="s">
        <v>263</v>
      </c>
      <c r="K15" s="24" t="s">
        <v>264</v>
      </c>
      <c r="L15" s="9" t="s">
        <v>265</v>
      </c>
      <c r="M15" s="12" t="s">
        <v>266</v>
      </c>
      <c r="N15" s="3" t="s">
        <v>268</v>
      </c>
      <c r="O15" s="3" t="s">
        <v>269</v>
      </c>
      <c r="P15" s="9" t="s">
        <v>270</v>
      </c>
      <c r="Q15" s="9" t="s">
        <v>271</v>
      </c>
      <c r="R15" s="9" t="s">
        <v>271</v>
      </c>
      <c r="S15" s="9" t="s">
        <v>272</v>
      </c>
      <c r="T15" s="3" t="s">
        <v>273</v>
      </c>
      <c r="U15" s="3" t="s">
        <v>274</v>
      </c>
      <c r="V15" s="9" t="s">
        <v>266</v>
      </c>
      <c r="W15" s="3" t="s">
        <v>267</v>
      </c>
      <c r="X15" s="2"/>
      <c r="Y15" s="2"/>
      <c r="Z15" s="3" t="s">
        <v>275</v>
      </c>
      <c r="AA15" s="3"/>
      <c r="AB15" s="3" t="s">
        <v>276</v>
      </c>
      <c r="AC15" s="3"/>
      <c r="AD15" s="3" t="s">
        <v>277</v>
      </c>
      <c r="AE15" s="2"/>
      <c r="AF15" s="2"/>
      <c r="AG15" s="9" t="s">
        <v>275</v>
      </c>
      <c r="AH15" s="9"/>
      <c r="AI15" s="9" t="s">
        <v>276</v>
      </c>
      <c r="AJ15" s="9" t="s">
        <v>276</v>
      </c>
      <c r="AK15" s="9" t="s">
        <v>278</v>
      </c>
      <c r="AL15" s="9" t="s">
        <v>277</v>
      </c>
      <c r="AM15" s="7" t="s">
        <v>279</v>
      </c>
      <c r="AN15" s="7" t="s">
        <v>280</v>
      </c>
      <c r="AO15" s="7" t="s">
        <v>281</v>
      </c>
      <c r="AP15" s="7" t="s">
        <v>279</v>
      </c>
      <c r="AQ15" s="7" t="s">
        <v>282</v>
      </c>
      <c r="AR15" s="7"/>
      <c r="AS15" s="7" t="s">
        <v>283</v>
      </c>
      <c r="AT15" s="7"/>
      <c r="AU15" s="7" t="s">
        <v>282</v>
      </c>
    </row>
    <row r="16" customFormat="false" ht="12.8" hidden="false" customHeight="false" outlineLevel="0" collapsed="false">
      <c r="A16" s="1" t="s">
        <v>78</v>
      </c>
      <c r="B16" s="11" t="s">
        <v>284</v>
      </c>
      <c r="C16" s="8" t="s">
        <v>285</v>
      </c>
      <c r="D16" s="8" t="s">
        <v>286</v>
      </c>
      <c r="E16" s="8" t="s">
        <v>287</v>
      </c>
      <c r="F16" s="8" t="s">
        <v>288</v>
      </c>
      <c r="G16" s="8" t="s">
        <v>289</v>
      </c>
      <c r="H16" s="24" t="s">
        <v>286</v>
      </c>
      <c r="I16" s="8" t="s">
        <v>287</v>
      </c>
      <c r="J16" s="12"/>
      <c r="K16" s="24" t="s">
        <v>289</v>
      </c>
      <c r="L16" s="9" t="s">
        <v>290</v>
      </c>
      <c r="M16" s="3" t="s">
        <v>291</v>
      </c>
      <c r="N16" s="9" t="s">
        <v>292</v>
      </c>
      <c r="O16" s="9" t="s">
        <v>218</v>
      </c>
      <c r="P16" s="9" t="s">
        <v>293</v>
      </c>
      <c r="Q16" s="9" t="s">
        <v>294</v>
      </c>
      <c r="R16" s="9" t="s">
        <v>294</v>
      </c>
      <c r="S16" s="9" t="s">
        <v>295</v>
      </c>
      <c r="T16" s="3" t="s">
        <v>296</v>
      </c>
      <c r="U16" s="3" t="s">
        <v>297</v>
      </c>
      <c r="V16" s="9" t="s">
        <v>298</v>
      </c>
      <c r="W16" s="3" t="s">
        <v>288</v>
      </c>
      <c r="X16" s="2"/>
      <c r="Y16" s="2"/>
      <c r="Z16" s="3" t="s">
        <v>299</v>
      </c>
      <c r="AA16" s="3"/>
      <c r="AB16" s="3" t="s">
        <v>300</v>
      </c>
      <c r="AC16" s="3"/>
      <c r="AD16" s="3" t="s">
        <v>301</v>
      </c>
      <c r="AE16" s="2"/>
      <c r="AF16" s="2"/>
      <c r="AG16" s="8" t="s">
        <v>299</v>
      </c>
      <c r="AH16" s="3"/>
      <c r="AI16" s="8" t="s">
        <v>300</v>
      </c>
      <c r="AJ16" s="8" t="s">
        <v>300</v>
      </c>
      <c r="AK16" s="9" t="s">
        <v>301</v>
      </c>
      <c r="AL16" s="8" t="s">
        <v>301</v>
      </c>
      <c r="AM16" s="7" t="s">
        <v>302</v>
      </c>
      <c r="AN16" s="7" t="s">
        <v>303</v>
      </c>
      <c r="AO16" s="7"/>
      <c r="AP16" s="7" t="s">
        <v>304</v>
      </c>
      <c r="AQ16" s="7" t="s">
        <v>305</v>
      </c>
      <c r="AR16" s="7"/>
      <c r="AS16" s="7" t="s">
        <v>306</v>
      </c>
      <c r="AT16" s="7"/>
      <c r="AU16" s="7" t="s">
        <v>305</v>
      </c>
    </row>
    <row r="17" customFormat="false" ht="12.8" hidden="false" customHeight="false" outlineLevel="0" collapsed="false">
      <c r="A17" s="1" t="s">
        <v>78</v>
      </c>
      <c r="B17" s="11" t="s">
        <v>307</v>
      </c>
      <c r="C17" s="8" t="s">
        <v>308</v>
      </c>
      <c r="D17" s="8" t="s">
        <v>309</v>
      </c>
      <c r="E17" s="8" t="s">
        <v>310</v>
      </c>
      <c r="F17" s="8" t="s">
        <v>311</v>
      </c>
      <c r="G17" s="8" t="s">
        <v>312</v>
      </c>
      <c r="H17" s="24" t="s">
        <v>309</v>
      </c>
      <c r="I17" s="8" t="s">
        <v>310</v>
      </c>
      <c r="J17" s="24" t="s">
        <v>311</v>
      </c>
      <c r="K17" s="24" t="s">
        <v>312</v>
      </c>
      <c r="L17" s="9" t="s">
        <v>313</v>
      </c>
      <c r="M17" s="3" t="s">
        <v>314</v>
      </c>
      <c r="N17" s="3" t="s">
        <v>315</v>
      </c>
      <c r="O17" s="3" t="s">
        <v>316</v>
      </c>
      <c r="P17" s="9" t="s">
        <v>317</v>
      </c>
      <c r="Q17" s="9" t="s">
        <v>318</v>
      </c>
      <c r="R17" s="9" t="s">
        <v>318</v>
      </c>
      <c r="S17" s="9" t="s">
        <v>319</v>
      </c>
      <c r="T17" s="3" t="s">
        <v>320</v>
      </c>
      <c r="U17" s="3" t="s">
        <v>321</v>
      </c>
      <c r="V17" s="9" t="s">
        <v>322</v>
      </c>
      <c r="W17" s="3"/>
      <c r="X17" s="2"/>
      <c r="Y17" s="2"/>
      <c r="Z17" s="3" t="s">
        <v>323</v>
      </c>
      <c r="AA17" s="3"/>
      <c r="AB17" s="3" t="s">
        <v>324</v>
      </c>
      <c r="AC17" s="3"/>
      <c r="AD17" s="3" t="s">
        <v>325</v>
      </c>
      <c r="AE17" s="2"/>
      <c r="AF17" s="2"/>
      <c r="AG17" s="8" t="s">
        <v>326</v>
      </c>
      <c r="AH17" s="3"/>
      <c r="AI17" s="8" t="s">
        <v>327</v>
      </c>
      <c r="AJ17" s="8" t="s">
        <v>324</v>
      </c>
      <c r="AK17" s="3" t="s">
        <v>328</v>
      </c>
      <c r="AL17" s="8" t="s">
        <v>329</v>
      </c>
      <c r="AM17" s="7" t="s">
        <v>330</v>
      </c>
      <c r="AN17" s="7" t="s">
        <v>331</v>
      </c>
      <c r="AO17" s="7"/>
      <c r="AP17" s="7" t="s">
        <v>330</v>
      </c>
      <c r="AQ17" s="7" t="s">
        <v>332</v>
      </c>
      <c r="AR17" s="7"/>
      <c r="AS17" s="7" t="s">
        <v>333</v>
      </c>
      <c r="AT17" s="7"/>
      <c r="AU17" s="7" t="s">
        <v>332</v>
      </c>
    </row>
    <row r="18" customFormat="false" ht="12.8" hidden="false" customHeight="false" outlineLevel="0" collapsed="false">
      <c r="A18" s="1" t="s">
        <v>53</v>
      </c>
      <c r="B18" s="13" t="s">
        <v>46</v>
      </c>
      <c r="C18" s="8" t="s">
        <v>334</v>
      </c>
      <c r="D18" s="8" t="s">
        <v>335</v>
      </c>
      <c r="E18" s="8" t="s">
        <v>336</v>
      </c>
      <c r="F18" s="8" t="s">
        <v>337</v>
      </c>
      <c r="G18" s="8" t="s">
        <v>338</v>
      </c>
      <c r="H18" s="3" t="s">
        <v>335</v>
      </c>
      <c r="I18" s="3" t="s">
        <v>336</v>
      </c>
      <c r="J18" s="3" t="s">
        <v>337</v>
      </c>
      <c r="K18" s="3" t="s">
        <v>338</v>
      </c>
      <c r="L18" s="9" t="s">
        <v>339</v>
      </c>
      <c r="M18" s="3" t="s">
        <v>340</v>
      </c>
      <c r="N18" s="9" t="s">
        <v>341</v>
      </c>
      <c r="O18" s="9" t="s">
        <v>342</v>
      </c>
      <c r="P18" s="9" t="s">
        <v>343</v>
      </c>
      <c r="Q18" s="9" t="s">
        <v>348</v>
      </c>
      <c r="R18" s="9" t="s">
        <v>348</v>
      </c>
      <c r="S18" s="9" t="s">
        <v>345</v>
      </c>
      <c r="T18" s="3" t="s">
        <v>346</v>
      </c>
      <c r="U18" s="3" t="s">
        <v>347</v>
      </c>
      <c r="V18" s="8" t="s">
        <v>344</v>
      </c>
      <c r="W18" s="3"/>
      <c r="X18" s="2"/>
      <c r="Y18" s="2"/>
      <c r="Z18" s="3" t="s">
        <v>326</v>
      </c>
      <c r="AA18" s="3"/>
      <c r="AB18" s="3" t="s">
        <v>327</v>
      </c>
      <c r="AC18" s="3"/>
      <c r="AD18" s="3" t="s">
        <v>329</v>
      </c>
      <c r="AE18" s="2"/>
      <c r="AF18" s="2"/>
      <c r="AG18" s="8" t="s">
        <v>326</v>
      </c>
      <c r="AH18" s="3"/>
      <c r="AI18" s="8" t="s">
        <v>327</v>
      </c>
      <c r="AJ18" s="8" t="s">
        <v>327</v>
      </c>
      <c r="AK18" s="3" t="s">
        <v>328</v>
      </c>
      <c r="AL18" s="8" t="s">
        <v>329</v>
      </c>
      <c r="AM18" s="7" t="s">
        <v>349</v>
      </c>
      <c r="AN18" s="7" t="s">
        <v>350</v>
      </c>
      <c r="AO18" s="7"/>
      <c r="AP18" s="7" t="s">
        <v>349</v>
      </c>
      <c r="AQ18" s="7" t="s">
        <v>351</v>
      </c>
      <c r="AR18" s="7"/>
      <c r="AS18" s="7" t="s">
        <v>352</v>
      </c>
      <c r="AT18" s="7"/>
      <c r="AU18" s="7" t="s">
        <v>351</v>
      </c>
    </row>
    <row r="19" customFormat="false" ht="12.8" hidden="false" customHeight="false" outlineLevel="0" collapsed="false">
      <c r="A19" s="1" t="s">
        <v>78</v>
      </c>
      <c r="B19" s="11" t="s">
        <v>353</v>
      </c>
      <c r="C19" s="8" t="s">
        <v>54</v>
      </c>
      <c r="D19" s="8" t="s">
        <v>55</v>
      </c>
      <c r="E19" s="8" t="s">
        <v>56</v>
      </c>
      <c r="F19" s="8" t="s">
        <v>57</v>
      </c>
      <c r="G19" s="8" t="s">
        <v>58</v>
      </c>
      <c r="H19" s="22" t="s">
        <v>55</v>
      </c>
      <c r="I19" s="23" t="s">
        <v>56</v>
      </c>
      <c r="J19" s="22" t="s">
        <v>57</v>
      </c>
      <c r="K19" s="24" t="s">
        <v>58</v>
      </c>
      <c r="L19" s="8" t="s">
        <v>59</v>
      </c>
      <c r="M19" s="8" t="s">
        <v>60</v>
      </c>
      <c r="N19" s="8" t="s">
        <v>61</v>
      </c>
      <c r="O19" s="8" t="s">
        <v>62</v>
      </c>
      <c r="P19" s="9" t="s">
        <v>63</v>
      </c>
      <c r="Q19" s="9" t="s">
        <v>68</v>
      </c>
      <c r="R19" s="9" t="s">
        <v>68</v>
      </c>
      <c r="S19" s="9" t="s">
        <v>65</v>
      </c>
      <c r="T19" s="9" t="s">
        <v>66</v>
      </c>
      <c r="U19" s="9" t="s">
        <v>67</v>
      </c>
      <c r="V19" s="9" t="s">
        <v>354</v>
      </c>
      <c r="W19" s="3"/>
      <c r="X19" s="2"/>
      <c r="Y19" s="2"/>
      <c r="Z19" s="3" t="s">
        <v>69</v>
      </c>
      <c r="AA19" s="3"/>
      <c r="AB19" s="3" t="s">
        <v>70</v>
      </c>
      <c r="AC19" s="3"/>
      <c r="AD19" s="3" t="s">
        <v>71</v>
      </c>
      <c r="AE19" s="2"/>
      <c r="AF19" s="2"/>
      <c r="AG19" s="8" t="s">
        <v>69</v>
      </c>
      <c r="AH19" s="9"/>
      <c r="AI19" s="8" t="s">
        <v>70</v>
      </c>
      <c r="AJ19" s="8" t="s">
        <v>70</v>
      </c>
      <c r="AK19" s="9" t="s">
        <v>72</v>
      </c>
      <c r="AL19" s="8" t="s">
        <v>71</v>
      </c>
      <c r="AM19" s="7" t="s">
        <v>73</v>
      </c>
      <c r="AN19" s="7" t="s">
        <v>74</v>
      </c>
      <c r="AO19" s="7"/>
      <c r="AP19" s="7" t="s">
        <v>355</v>
      </c>
      <c r="AQ19" s="7" t="s">
        <v>75</v>
      </c>
      <c r="AR19" s="7"/>
      <c r="AS19" s="7" t="s">
        <v>76</v>
      </c>
      <c r="AT19" s="7"/>
      <c r="AU19" s="7" t="s">
        <v>77</v>
      </c>
    </row>
    <row r="20" customFormat="false" ht="12.8" hidden="false" customHeight="false" outlineLevel="0" collapsed="false">
      <c r="A20" s="1" t="s">
        <v>53</v>
      </c>
      <c r="B20" s="13" t="s">
        <v>12</v>
      </c>
      <c r="C20" s="9" t="s">
        <v>275</v>
      </c>
      <c r="D20" s="9" t="s">
        <v>261</v>
      </c>
      <c r="E20" s="9" t="s">
        <v>276</v>
      </c>
      <c r="F20" s="9" t="s">
        <v>278</v>
      </c>
      <c r="G20" s="9" t="s">
        <v>277</v>
      </c>
      <c r="H20" s="8" t="s">
        <v>261</v>
      </c>
      <c r="I20" s="8" t="s">
        <v>276</v>
      </c>
      <c r="J20" s="8" t="s">
        <v>278</v>
      </c>
      <c r="K20" s="8" t="s">
        <v>277</v>
      </c>
      <c r="L20" s="9" t="s">
        <v>279</v>
      </c>
      <c r="M20" s="3" t="s">
        <v>280</v>
      </c>
      <c r="N20" s="3" t="s">
        <v>356</v>
      </c>
      <c r="O20" s="3" t="s">
        <v>357</v>
      </c>
      <c r="P20" s="9" t="s">
        <v>282</v>
      </c>
      <c r="Q20" s="12" t="s">
        <v>271</v>
      </c>
      <c r="R20" s="12" t="s">
        <v>271</v>
      </c>
      <c r="S20" s="9" t="s">
        <v>283</v>
      </c>
      <c r="T20" s="9" t="s">
        <v>358</v>
      </c>
      <c r="U20" s="9" t="s">
        <v>359</v>
      </c>
      <c r="V20" s="3" t="s">
        <v>271</v>
      </c>
      <c r="W20" s="3"/>
      <c r="X20" s="2"/>
      <c r="Y20" s="2"/>
      <c r="Z20" s="3"/>
      <c r="AA20" s="3"/>
      <c r="AB20" s="3"/>
      <c r="AC20" s="3"/>
      <c r="AD20" s="3"/>
      <c r="AE20" s="2"/>
      <c r="AF20" s="2"/>
      <c r="AG20" s="9"/>
      <c r="AH20" s="9"/>
      <c r="AI20" s="9"/>
      <c r="AJ20" s="9"/>
      <c r="AK20" s="9"/>
      <c r="AL20" s="9"/>
      <c r="AM20" s="7"/>
      <c r="AN20" s="7"/>
      <c r="AO20" s="7"/>
      <c r="AP20" s="7"/>
      <c r="AQ20" s="7"/>
      <c r="AR20" s="7"/>
      <c r="AS20" s="7"/>
      <c r="AT20" s="7"/>
      <c r="AU20" s="7"/>
    </row>
    <row r="21" customFormat="false" ht="12.8" hidden="false" customHeight="false" outlineLevel="0" collapsed="false">
      <c r="A21" s="1" t="s">
        <v>78</v>
      </c>
      <c r="B21" s="11" t="s">
        <v>9</v>
      </c>
      <c r="C21" s="8" t="s">
        <v>360</v>
      </c>
      <c r="D21" s="8" t="s">
        <v>361</v>
      </c>
      <c r="E21" s="8" t="s">
        <v>362</v>
      </c>
      <c r="F21" s="8" t="s">
        <v>363</v>
      </c>
      <c r="G21" s="8" t="s">
        <v>364</v>
      </c>
      <c r="H21" s="14"/>
      <c r="I21" s="14"/>
      <c r="J21" s="14"/>
      <c r="K21" s="14"/>
      <c r="L21" s="3" t="s">
        <v>365</v>
      </c>
      <c r="M21" s="9" t="s">
        <v>366</v>
      </c>
      <c r="N21" s="12" t="s">
        <v>367</v>
      </c>
      <c r="O21" s="14"/>
      <c r="P21" s="9" t="s">
        <v>368</v>
      </c>
      <c r="Q21" s="17" t="s">
        <v>369</v>
      </c>
      <c r="R21" s="17" t="s">
        <v>369</v>
      </c>
      <c r="S21" s="9" t="s">
        <v>370</v>
      </c>
      <c r="T21" s="9" t="s">
        <v>371</v>
      </c>
      <c r="U21" s="9" t="s">
        <v>372</v>
      </c>
      <c r="V21" s="9" t="s">
        <v>367</v>
      </c>
      <c r="W21" s="3"/>
      <c r="X21" s="2"/>
      <c r="Y21" s="2"/>
      <c r="Z21" s="9"/>
      <c r="AA21" s="9"/>
      <c r="AB21" s="9"/>
      <c r="AC21" s="9"/>
      <c r="AD21" s="9"/>
      <c r="AE21" s="9"/>
      <c r="AF21" s="19"/>
      <c r="AG21" s="9"/>
      <c r="AH21" s="9"/>
      <c r="AI21" s="9"/>
      <c r="AJ21" s="9"/>
      <c r="AK21" s="9"/>
      <c r="AL21" s="9"/>
      <c r="AM21" s="7"/>
      <c r="AN21" s="7"/>
      <c r="AO21" s="7"/>
      <c r="AP21" s="7"/>
      <c r="AQ21" s="7"/>
      <c r="AR21" s="7"/>
      <c r="AS21" s="7"/>
      <c r="AT21" s="7"/>
      <c r="AU21" s="7"/>
    </row>
    <row r="22" customFormat="false" ht="12.8" hidden="false" customHeight="false" outlineLevel="0" collapsed="false">
      <c r="A22" s="1" t="s">
        <v>53</v>
      </c>
      <c r="B22" s="13" t="s">
        <v>47</v>
      </c>
      <c r="C22" s="8" t="s">
        <v>373</v>
      </c>
      <c r="D22" s="9" t="s">
        <v>374</v>
      </c>
      <c r="E22" s="9" t="s">
        <v>155</v>
      </c>
      <c r="F22" s="9" t="s">
        <v>375</v>
      </c>
      <c r="G22" s="9" t="s">
        <v>376</v>
      </c>
      <c r="H22" s="8" t="s">
        <v>374</v>
      </c>
      <c r="I22" s="8" t="s">
        <v>155</v>
      </c>
      <c r="J22" s="8" t="s">
        <v>375</v>
      </c>
      <c r="K22" s="8" t="s">
        <v>376</v>
      </c>
      <c r="L22" s="9" t="s">
        <v>377</v>
      </c>
      <c r="M22" s="3" t="s">
        <v>378</v>
      </c>
      <c r="N22" s="3" t="s">
        <v>379</v>
      </c>
      <c r="O22" s="3" t="s">
        <v>161</v>
      </c>
      <c r="P22" s="9" t="s">
        <v>380</v>
      </c>
      <c r="Q22" s="9" t="s">
        <v>381</v>
      </c>
      <c r="R22" s="9" t="s">
        <v>381</v>
      </c>
      <c r="S22" s="18" t="s">
        <v>164</v>
      </c>
      <c r="T22" s="3" t="s">
        <v>382</v>
      </c>
      <c r="U22" s="3" t="s">
        <v>383</v>
      </c>
      <c r="V22" s="3" t="s">
        <v>164</v>
      </c>
      <c r="W22" s="3"/>
      <c r="X22" s="2"/>
      <c r="Y22" s="2"/>
      <c r="Z22" s="3"/>
      <c r="AA22" s="3"/>
      <c r="AB22" s="3"/>
      <c r="AC22" s="3"/>
      <c r="AD22" s="3"/>
      <c r="AE22" s="2"/>
      <c r="AF22" s="2"/>
      <c r="AG22" s="9"/>
      <c r="AH22" s="9"/>
      <c r="AI22" s="9"/>
      <c r="AJ22" s="9"/>
      <c r="AK22" s="9"/>
      <c r="AL22" s="9"/>
      <c r="AM22" s="7"/>
      <c r="AN22" s="7"/>
      <c r="AO22" s="7"/>
      <c r="AP22" s="7"/>
      <c r="AQ22" s="7"/>
      <c r="AR22" s="7"/>
      <c r="AS22" s="7"/>
      <c r="AT22" s="7"/>
      <c r="AU22" s="7"/>
    </row>
    <row r="23" customFormat="false" ht="12.8" hidden="false" customHeight="false" outlineLevel="0" collapsed="false">
      <c r="A23" s="1" t="s">
        <v>78</v>
      </c>
      <c r="B23" s="11" t="s">
        <v>384</v>
      </c>
      <c r="C23" s="8" t="s">
        <v>199</v>
      </c>
      <c r="D23" s="14"/>
      <c r="E23" s="8" t="s">
        <v>200</v>
      </c>
      <c r="F23" s="14"/>
      <c r="G23" s="8" t="s">
        <v>201</v>
      </c>
      <c r="H23" s="14"/>
      <c r="I23" s="3" t="s">
        <v>200</v>
      </c>
      <c r="J23" s="14"/>
      <c r="K23" s="3" t="s">
        <v>201</v>
      </c>
      <c r="L23" s="9" t="s">
        <v>202</v>
      </c>
      <c r="M23" s="3" t="s">
        <v>203</v>
      </c>
      <c r="N23" s="14"/>
      <c r="O23" s="9" t="s">
        <v>204</v>
      </c>
      <c r="P23" s="9" t="s">
        <v>205</v>
      </c>
      <c r="Q23" s="14"/>
      <c r="R23" s="14"/>
      <c r="S23" s="9" t="s">
        <v>206</v>
      </c>
      <c r="T23" s="14"/>
      <c r="U23" s="3" t="s">
        <v>207</v>
      </c>
      <c r="V23" s="3" t="s">
        <v>385</v>
      </c>
      <c r="W23" s="3"/>
      <c r="X23" s="2"/>
      <c r="Y23" s="2"/>
      <c r="Z23" s="3"/>
      <c r="AA23" s="3"/>
      <c r="AB23" s="3"/>
      <c r="AC23" s="3"/>
      <c r="AD23" s="3"/>
      <c r="AE23" s="2"/>
      <c r="AF23" s="2"/>
      <c r="AG23" s="9"/>
      <c r="AH23" s="9"/>
      <c r="AI23" s="9"/>
      <c r="AJ23" s="9"/>
      <c r="AK23" s="9"/>
      <c r="AL23" s="9"/>
      <c r="AM23" s="7"/>
      <c r="AN23" s="7"/>
      <c r="AO23" s="7"/>
      <c r="AP23" s="7"/>
      <c r="AQ23" s="7"/>
      <c r="AR23" s="7"/>
      <c r="AS23" s="7"/>
      <c r="AT23" s="7"/>
      <c r="AU23" s="7"/>
    </row>
    <row r="24" customFormat="false" ht="12.8" hidden="false" customHeight="false" outlineLevel="0" collapsed="false">
      <c r="A24" s="1" t="s">
        <v>78</v>
      </c>
      <c r="B24" s="11" t="s">
        <v>5</v>
      </c>
      <c r="C24" s="3" t="s">
        <v>386</v>
      </c>
      <c r="D24" s="3" t="s">
        <v>387</v>
      </c>
      <c r="E24" s="3" t="s">
        <v>388</v>
      </c>
      <c r="F24" s="3" t="s">
        <v>389</v>
      </c>
      <c r="G24" s="3" t="s">
        <v>390</v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3" t="s">
        <v>54</v>
      </c>
      <c r="W24" s="3"/>
      <c r="X24" s="2"/>
      <c r="Y24" s="2"/>
      <c r="Z24" s="9" t="s">
        <v>391</v>
      </c>
      <c r="AA24" s="9"/>
      <c r="AB24" s="9" t="s">
        <v>392</v>
      </c>
      <c r="AC24" s="19"/>
      <c r="AD24" s="9" t="s">
        <v>393</v>
      </c>
      <c r="AE24" s="2"/>
      <c r="AF24" s="2"/>
      <c r="AG24" s="9"/>
      <c r="AH24" s="9"/>
      <c r="AI24" s="9"/>
      <c r="AJ24" s="9"/>
      <c r="AK24" s="9"/>
      <c r="AL24" s="9"/>
      <c r="AM24" s="7"/>
      <c r="AN24" s="7"/>
      <c r="AO24" s="7"/>
      <c r="AP24" s="7"/>
      <c r="AQ24" s="7"/>
      <c r="AR24" s="7"/>
      <c r="AS24" s="7"/>
      <c r="AT24" s="7"/>
      <c r="AU24" s="7"/>
    </row>
    <row r="25" customFormat="false" ht="12.8" hidden="false" customHeight="false" outlineLevel="0" collapsed="false">
      <c r="B25" s="1" t="s">
        <v>10</v>
      </c>
      <c r="C25" s="3" t="s">
        <v>394</v>
      </c>
      <c r="D25" s="2"/>
      <c r="E25" s="20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 customFormat="false" ht="12.8" hidden="false" customHeight="false" outlineLevel="0" collapsed="false">
      <c r="B26" s="1" t="s">
        <v>395</v>
      </c>
      <c r="C26" s="2" t="s">
        <v>396</v>
      </c>
      <c r="F26" s="2"/>
      <c r="AG26" s="7" t="s">
        <v>420</v>
      </c>
      <c r="AH26" s="7"/>
      <c r="AI26" s="7" t="s">
        <v>421</v>
      </c>
      <c r="AJ26" s="7" t="s">
        <v>422</v>
      </c>
      <c r="AK26" s="7" t="s">
        <v>423</v>
      </c>
      <c r="AL26" s="7"/>
      <c r="AM26" s="7" t="s">
        <v>424</v>
      </c>
      <c r="AN26" s="7" t="s">
        <v>425</v>
      </c>
      <c r="AO26" s="7"/>
      <c r="AP26" s="7" t="s">
        <v>426</v>
      </c>
      <c r="AQ26" s="7" t="s">
        <v>427</v>
      </c>
      <c r="AR26" s="7"/>
      <c r="AS26" s="7" t="s">
        <v>428</v>
      </c>
      <c r="AT26" s="7"/>
      <c r="AU26" s="7" t="s">
        <v>429</v>
      </c>
    </row>
    <row r="27" customFormat="false" ht="12.8" hidden="false" customHeight="false" outlineLevel="0" collapsed="false">
      <c r="B27" s="1" t="s">
        <v>397</v>
      </c>
      <c r="C27" s="2" t="s">
        <v>398</v>
      </c>
      <c r="F27" s="2"/>
      <c r="AG27" s="7" t="s">
        <v>257</v>
      </c>
      <c r="AH27" s="7"/>
      <c r="AI27" s="7" t="s">
        <v>258</v>
      </c>
      <c r="AJ27" s="7" t="s">
        <v>430</v>
      </c>
      <c r="AK27" s="7" t="s">
        <v>259</v>
      </c>
      <c r="AL27" s="7"/>
      <c r="AM27" s="7" t="s">
        <v>431</v>
      </c>
      <c r="AN27" s="7" t="s">
        <v>432</v>
      </c>
      <c r="AO27" s="7"/>
      <c r="AP27" s="7" t="s">
        <v>433</v>
      </c>
      <c r="AQ27" s="7" t="s">
        <v>434</v>
      </c>
      <c r="AR27" s="7"/>
      <c r="AS27" s="7" t="s">
        <v>435</v>
      </c>
      <c r="AT27" s="7"/>
      <c r="AU27" s="7" t="s">
        <v>436</v>
      </c>
    </row>
    <row r="28" customFormat="false" ht="12.8" hidden="false" customHeight="false" outlineLevel="0" collapsed="false">
      <c r="B28" s="7" t="s">
        <v>3</v>
      </c>
      <c r="C28" s="3" t="s">
        <v>394</v>
      </c>
    </row>
    <row r="30" customFormat="false" ht="12.8" hidden="false" customHeight="false" outlineLevel="0" collapsed="false">
      <c r="B30" s="1" t="s">
        <v>399</v>
      </c>
      <c r="C30" s="1" t="s">
        <v>400</v>
      </c>
    </row>
    <row r="31" customFormat="false" ht="12.8" hidden="false" customHeight="false" outlineLevel="0" collapsed="false">
      <c r="B31" s="1" t="s">
        <v>401</v>
      </c>
      <c r="C31" s="1" t="s">
        <v>402</v>
      </c>
    </row>
    <row r="42" customFormat="false" ht="12.8" hidden="false" customHeight="false" outlineLevel="0" collapsed="false">
      <c r="B42" s="1" t="s">
        <v>403</v>
      </c>
      <c r="D42" s="1" t="s">
        <v>396</v>
      </c>
    </row>
    <row r="43" customFormat="false" ht="12.8" hidden="false" customHeight="false" outlineLevel="0" collapsed="false">
      <c r="B43" s="1" t="s">
        <v>404</v>
      </c>
      <c r="E43" s="1" t="s">
        <v>405</v>
      </c>
    </row>
    <row r="44" customFormat="false" ht="12.8" hidden="false" customHeight="false" outlineLevel="0" collapsed="false">
      <c r="B44" s="1" t="s">
        <v>406</v>
      </c>
      <c r="E44" s="1" t="s">
        <v>407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50"/>
  <sheetViews>
    <sheetView showFormulas="false" showGridLines="true" showRowColHeaders="true" showZeros="true" rightToLeft="false" tabSelected="true" showOutlineSymbols="true" defaultGridColor="true" view="normal" topLeftCell="I7" colorId="64" zoomScale="100" zoomScaleNormal="100" zoomScalePageLayoutView="100" workbookViewId="0">
      <selection pane="topLeft" activeCell="AS19" activeCellId="0" sqref="AS19:CI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5" width="6.12"/>
    <col collapsed="false" customWidth="true" hidden="false" outlineLevel="0" max="33" min="2" style="25" width="2.04"/>
    <col collapsed="false" customWidth="true" hidden="false" outlineLevel="0" max="34" min="34" style="25" width="2.31"/>
    <col collapsed="false" customWidth="true" hidden="false" outlineLevel="0" max="43" min="35" style="25" width="2.04"/>
    <col collapsed="false" customWidth="true" hidden="false" outlineLevel="0" max="44" min="44" style="25" width="5.66"/>
    <col collapsed="false" customWidth="true" hidden="false" outlineLevel="0" max="45" min="45" style="25" width="6.12"/>
    <col collapsed="false" customWidth="true" hidden="false" outlineLevel="0" max="87" min="46" style="25" width="2.04"/>
    <col collapsed="false" customWidth="true" hidden="false" outlineLevel="0" max="88" min="88" style="25" width="4.33"/>
    <col collapsed="false" customWidth="true" hidden="false" outlineLevel="0" max="89" min="89" style="25" width="6.12"/>
    <col collapsed="false" customWidth="true" hidden="false" outlineLevel="0" max="131" min="90" style="25" width="2.04"/>
    <col collapsed="false" customWidth="true" hidden="false" outlineLevel="0" max="132" min="132" style="25" width="2.43"/>
    <col collapsed="false" customWidth="false" hidden="false" outlineLevel="0" max="16384" min="133" style="25" width="11.53"/>
  </cols>
  <sheetData>
    <row r="1" customFormat="false" ht="12.8" hidden="false" customHeight="true" outlineLevel="0" collapsed="false">
      <c r="A1" s="17" t="s">
        <v>437</v>
      </c>
      <c r="B1" s="17"/>
      <c r="C1" s="17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7"/>
      <c r="AS1" s="28" t="s">
        <v>438</v>
      </c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7"/>
    </row>
    <row r="2" customFormat="false" ht="19.85" hidden="false" customHeight="true" outlineLevel="0" collapsed="false">
      <c r="A2" s="29" t="s">
        <v>439</v>
      </c>
      <c r="B2" s="30" t="s">
        <v>440</v>
      </c>
      <c r="C2" s="30"/>
      <c r="D2" s="30" t="s">
        <v>441</v>
      </c>
      <c r="E2" s="30"/>
      <c r="F2" s="30" t="s">
        <v>442</v>
      </c>
      <c r="G2" s="30"/>
      <c r="H2" s="30" t="s">
        <v>443</v>
      </c>
      <c r="I2" s="30"/>
      <c r="J2" s="30" t="s">
        <v>444</v>
      </c>
      <c r="K2" s="30"/>
      <c r="L2" s="30" t="s">
        <v>445</v>
      </c>
      <c r="M2" s="30"/>
      <c r="N2" s="30" t="s">
        <v>446</v>
      </c>
      <c r="O2" s="30"/>
      <c r="P2" s="30" t="s">
        <v>447</v>
      </c>
      <c r="Q2" s="30"/>
      <c r="R2" s="30" t="s">
        <v>448</v>
      </c>
      <c r="S2" s="30"/>
      <c r="T2" s="30" t="s">
        <v>449</v>
      </c>
      <c r="U2" s="30"/>
      <c r="V2" s="30" t="s">
        <v>450</v>
      </c>
      <c r="W2" s="30"/>
      <c r="X2" s="30" t="s">
        <v>451</v>
      </c>
      <c r="Y2" s="30"/>
      <c r="Z2" s="31" t="s">
        <v>452</v>
      </c>
      <c r="AA2" s="31"/>
      <c r="AB2" s="32" t="s">
        <v>453</v>
      </c>
      <c r="AC2" s="32"/>
      <c r="AD2" s="32" t="s">
        <v>454</v>
      </c>
      <c r="AE2" s="32"/>
      <c r="AF2" s="30" t="s">
        <v>455</v>
      </c>
      <c r="AG2" s="30"/>
      <c r="AH2" s="30" t="s">
        <v>456</v>
      </c>
      <c r="AI2" s="30"/>
      <c r="AJ2" s="30" t="s">
        <v>457</v>
      </c>
      <c r="AK2" s="30"/>
      <c r="AL2" s="30" t="s">
        <v>458</v>
      </c>
      <c r="AM2" s="30"/>
      <c r="AN2" s="33" t="s">
        <v>459</v>
      </c>
      <c r="AO2" s="33"/>
      <c r="AP2" s="30" t="s">
        <v>460</v>
      </c>
      <c r="AQ2" s="30"/>
      <c r="AS2" s="29" t="s">
        <v>439</v>
      </c>
      <c r="AT2" s="30" t="s">
        <v>440</v>
      </c>
      <c r="AU2" s="30"/>
      <c r="AV2" s="30" t="s">
        <v>441</v>
      </c>
      <c r="AW2" s="30"/>
      <c r="AX2" s="30" t="s">
        <v>442</v>
      </c>
      <c r="AY2" s="30"/>
      <c r="AZ2" s="30" t="s">
        <v>443</v>
      </c>
      <c r="BA2" s="30"/>
      <c r="BB2" s="30" t="s">
        <v>444</v>
      </c>
      <c r="BC2" s="30"/>
      <c r="BD2" s="30" t="s">
        <v>445</v>
      </c>
      <c r="BE2" s="30"/>
      <c r="BF2" s="30" t="s">
        <v>446</v>
      </c>
      <c r="BG2" s="30"/>
      <c r="BH2" s="30" t="s">
        <v>447</v>
      </c>
      <c r="BI2" s="30"/>
      <c r="BJ2" s="30" t="s">
        <v>448</v>
      </c>
      <c r="BK2" s="30"/>
      <c r="BL2" s="30" t="s">
        <v>449</v>
      </c>
      <c r="BM2" s="30"/>
      <c r="BN2" s="30" t="s">
        <v>450</v>
      </c>
      <c r="BO2" s="30"/>
      <c r="BP2" s="30" t="s">
        <v>451</v>
      </c>
      <c r="BQ2" s="30"/>
      <c r="BR2" s="31" t="s">
        <v>452</v>
      </c>
      <c r="BS2" s="31"/>
      <c r="BT2" s="32" t="s">
        <v>453</v>
      </c>
      <c r="BU2" s="32"/>
      <c r="BV2" s="32" t="s">
        <v>454</v>
      </c>
      <c r="BW2" s="32"/>
      <c r="BX2" s="30" t="s">
        <v>455</v>
      </c>
      <c r="BY2" s="30"/>
      <c r="BZ2" s="30" t="s">
        <v>456</v>
      </c>
      <c r="CA2" s="30"/>
      <c r="CB2" s="30" t="s">
        <v>457</v>
      </c>
      <c r="CC2" s="30"/>
      <c r="CD2" s="30" t="s">
        <v>458</v>
      </c>
      <c r="CE2" s="30"/>
      <c r="CF2" s="33" t="s">
        <v>459</v>
      </c>
      <c r="CG2" s="33"/>
      <c r="CH2" s="30" t="s">
        <v>460</v>
      </c>
      <c r="CI2" s="30"/>
      <c r="CK2" s="29" t="s">
        <v>439</v>
      </c>
      <c r="CL2" s="30" t="s">
        <v>440</v>
      </c>
      <c r="CM2" s="30"/>
      <c r="CN2" s="30" t="s">
        <v>441</v>
      </c>
      <c r="CO2" s="30"/>
      <c r="CP2" s="30" t="s">
        <v>442</v>
      </c>
      <c r="CQ2" s="30"/>
      <c r="CR2" s="30" t="s">
        <v>443</v>
      </c>
      <c r="CS2" s="30"/>
      <c r="CT2" s="30" t="s">
        <v>444</v>
      </c>
      <c r="CU2" s="30"/>
      <c r="CV2" s="30" t="s">
        <v>445</v>
      </c>
      <c r="CW2" s="30"/>
      <c r="CX2" s="30" t="s">
        <v>446</v>
      </c>
      <c r="CY2" s="30"/>
      <c r="CZ2" s="30" t="s">
        <v>447</v>
      </c>
      <c r="DA2" s="30"/>
      <c r="DB2" s="30" t="s">
        <v>448</v>
      </c>
      <c r="DC2" s="30"/>
      <c r="DD2" s="30" t="s">
        <v>449</v>
      </c>
      <c r="DE2" s="30"/>
      <c r="DF2" s="30" t="s">
        <v>450</v>
      </c>
      <c r="DG2" s="30"/>
      <c r="DH2" s="30" t="s">
        <v>451</v>
      </c>
      <c r="DI2" s="30"/>
      <c r="DJ2" s="31" t="s">
        <v>452</v>
      </c>
      <c r="DK2" s="31"/>
      <c r="DL2" s="32" t="s">
        <v>453</v>
      </c>
      <c r="DM2" s="32"/>
      <c r="DN2" s="32" t="s">
        <v>454</v>
      </c>
      <c r="DO2" s="32"/>
      <c r="DP2" s="30" t="s">
        <v>455</v>
      </c>
      <c r="DQ2" s="30"/>
      <c r="DR2" s="30" t="s">
        <v>456</v>
      </c>
      <c r="DS2" s="30"/>
      <c r="DT2" s="30" t="s">
        <v>457</v>
      </c>
      <c r="DU2" s="30"/>
      <c r="DV2" s="30" t="s">
        <v>458</v>
      </c>
      <c r="DW2" s="30"/>
      <c r="DX2" s="33" t="s">
        <v>459</v>
      </c>
      <c r="DY2" s="33"/>
      <c r="DZ2" s="30" t="s">
        <v>460</v>
      </c>
      <c r="EA2" s="30"/>
    </row>
    <row r="3" customFormat="false" ht="25.5" hidden="false" customHeight="true" outlineLevel="0" collapsed="false">
      <c r="A3" s="34" t="s">
        <v>461</v>
      </c>
      <c r="B3" s="29" t="n">
        <v>1</v>
      </c>
      <c r="C3" s="29"/>
      <c r="D3" s="29"/>
      <c r="E3" s="29" t="n">
        <v>2</v>
      </c>
      <c r="F3" s="29"/>
      <c r="G3" s="29"/>
      <c r="H3" s="29" t="n">
        <v>3</v>
      </c>
      <c r="I3" s="29"/>
      <c r="J3" s="29"/>
      <c r="K3" s="29" t="n">
        <v>4</v>
      </c>
      <c r="L3" s="29"/>
      <c r="M3" s="29"/>
      <c r="N3" s="29" t="n">
        <v>5</v>
      </c>
      <c r="O3" s="29"/>
      <c r="P3" s="29"/>
      <c r="Q3" s="29" t="n">
        <v>6</v>
      </c>
      <c r="R3" s="29"/>
      <c r="S3" s="29"/>
      <c r="T3" s="29" t="n">
        <v>7</v>
      </c>
      <c r="U3" s="29"/>
      <c r="V3" s="29"/>
      <c r="W3" s="29" t="n">
        <v>8</v>
      </c>
      <c r="X3" s="29"/>
      <c r="Y3" s="29"/>
      <c r="Z3" s="29" t="n">
        <v>9</v>
      </c>
      <c r="AA3" s="29"/>
      <c r="AB3" s="29"/>
      <c r="AC3" s="29" t="n">
        <v>0</v>
      </c>
      <c r="AD3" s="29"/>
      <c r="AE3" s="29"/>
      <c r="AF3" s="29" t="s">
        <v>462</v>
      </c>
      <c r="AG3" s="29"/>
      <c r="AH3" s="29"/>
      <c r="AI3" s="29" t="s">
        <v>463</v>
      </c>
      <c r="AJ3" s="29"/>
      <c r="AK3" s="29"/>
      <c r="AL3" s="29" t="s">
        <v>464</v>
      </c>
      <c r="AM3" s="29"/>
      <c r="AN3" s="29"/>
      <c r="AO3" s="29" t="s">
        <v>465</v>
      </c>
      <c r="AP3" s="29"/>
      <c r="AQ3" s="29"/>
      <c r="AS3" s="34" t="s">
        <v>461</v>
      </c>
      <c r="AT3" s="29" t="n">
        <v>1</v>
      </c>
      <c r="AU3" s="29"/>
      <c r="AV3" s="29"/>
      <c r="AW3" s="29" t="n">
        <v>2</v>
      </c>
      <c r="AX3" s="29"/>
      <c r="AY3" s="29"/>
      <c r="AZ3" s="29" t="n">
        <v>3</v>
      </c>
      <c r="BA3" s="29"/>
      <c r="BB3" s="29"/>
      <c r="BC3" s="29" t="n">
        <v>4</v>
      </c>
      <c r="BD3" s="29"/>
      <c r="BE3" s="29"/>
      <c r="BF3" s="29" t="n">
        <v>5</v>
      </c>
      <c r="BG3" s="29"/>
      <c r="BH3" s="29"/>
      <c r="BI3" s="29" t="n">
        <v>6</v>
      </c>
      <c r="BJ3" s="29"/>
      <c r="BK3" s="29"/>
      <c r="BL3" s="29" t="n">
        <v>7</v>
      </c>
      <c r="BM3" s="29"/>
      <c r="BN3" s="29"/>
      <c r="BO3" s="29" t="n">
        <v>8</v>
      </c>
      <c r="BP3" s="29"/>
      <c r="BQ3" s="29"/>
      <c r="BR3" s="29" t="n">
        <v>9</v>
      </c>
      <c r="BS3" s="29"/>
      <c r="BT3" s="29"/>
      <c r="BU3" s="29" t="n">
        <v>0</v>
      </c>
      <c r="BV3" s="29"/>
      <c r="BW3" s="29"/>
      <c r="BX3" s="29" t="s">
        <v>462</v>
      </c>
      <c r="BY3" s="29"/>
      <c r="BZ3" s="29"/>
      <c r="CA3" s="29" t="s">
        <v>463</v>
      </c>
      <c r="CB3" s="29"/>
      <c r="CC3" s="29"/>
      <c r="CD3" s="29" t="s">
        <v>464</v>
      </c>
      <c r="CE3" s="29"/>
      <c r="CF3" s="29"/>
      <c r="CG3" s="29" t="s">
        <v>465</v>
      </c>
      <c r="CH3" s="29"/>
      <c r="CI3" s="29"/>
      <c r="CK3" s="34" t="s">
        <v>461</v>
      </c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29" t="s">
        <v>465</v>
      </c>
      <c r="DZ3" s="29"/>
      <c r="EA3" s="29"/>
    </row>
    <row r="4" customFormat="false" ht="25.5" hidden="false" customHeight="true" outlineLevel="0" collapsed="false">
      <c r="A4" s="29" t="s">
        <v>466</v>
      </c>
      <c r="B4" s="29"/>
      <c r="C4" s="29" t="s">
        <v>10</v>
      </c>
      <c r="D4" s="29"/>
      <c r="E4" s="29"/>
      <c r="F4" s="29" t="s">
        <v>6</v>
      </c>
      <c r="G4" s="29"/>
      <c r="H4" s="29"/>
      <c r="I4" s="29" t="s">
        <v>11</v>
      </c>
      <c r="J4" s="29"/>
      <c r="K4" s="29"/>
      <c r="L4" s="29" t="s">
        <v>209</v>
      </c>
      <c r="M4" s="29"/>
      <c r="N4" s="29"/>
      <c r="O4" s="29" t="s">
        <v>105</v>
      </c>
      <c r="P4" s="29"/>
      <c r="Q4" s="29"/>
      <c r="R4" s="29" t="s">
        <v>198</v>
      </c>
      <c r="S4" s="29"/>
      <c r="T4" s="29"/>
      <c r="U4" s="29" t="s">
        <v>14</v>
      </c>
      <c r="V4" s="29"/>
      <c r="W4" s="29"/>
      <c r="X4" s="29" t="s">
        <v>2</v>
      </c>
      <c r="Y4" s="29"/>
      <c r="Z4" s="29"/>
      <c r="AA4" s="29" t="s">
        <v>45</v>
      </c>
      <c r="AB4" s="29"/>
      <c r="AC4" s="29"/>
      <c r="AD4" s="29" t="s">
        <v>46</v>
      </c>
      <c r="AE4" s="29"/>
      <c r="AF4" s="29"/>
      <c r="AG4" s="29" t="s">
        <v>467</v>
      </c>
      <c r="AH4" s="29"/>
      <c r="AI4" s="29"/>
      <c r="AJ4" s="29" t="s">
        <v>468</v>
      </c>
      <c r="AK4" s="29"/>
      <c r="AL4" s="29"/>
      <c r="AM4" s="29" t="s">
        <v>469</v>
      </c>
      <c r="AN4" s="29"/>
      <c r="AO4" s="29"/>
      <c r="AP4" s="29"/>
      <c r="AQ4" s="29"/>
      <c r="AS4" s="29" t="s">
        <v>466</v>
      </c>
      <c r="AT4" s="29"/>
      <c r="AU4" s="29" t="s">
        <v>10</v>
      </c>
      <c r="AV4" s="29"/>
      <c r="AW4" s="29"/>
      <c r="AX4" s="29" t="s">
        <v>6</v>
      </c>
      <c r="AY4" s="29"/>
      <c r="AZ4" s="29"/>
      <c r="BA4" s="29" t="s">
        <v>11</v>
      </c>
      <c r="BB4" s="29"/>
      <c r="BC4" s="29"/>
      <c r="BD4" s="29" t="s">
        <v>209</v>
      </c>
      <c r="BE4" s="29"/>
      <c r="BF4" s="29"/>
      <c r="BG4" s="29" t="s">
        <v>105</v>
      </c>
      <c r="BH4" s="29"/>
      <c r="BI4" s="29"/>
      <c r="BJ4" s="29" t="s">
        <v>198</v>
      </c>
      <c r="BK4" s="29"/>
      <c r="BL4" s="29"/>
      <c r="BM4" s="29" t="s">
        <v>14</v>
      </c>
      <c r="BN4" s="29"/>
      <c r="BO4" s="29"/>
      <c r="BP4" s="29" t="s">
        <v>2</v>
      </c>
      <c r="BQ4" s="29"/>
      <c r="BR4" s="29"/>
      <c r="BS4" s="29" t="s">
        <v>45</v>
      </c>
      <c r="BT4" s="29"/>
      <c r="BU4" s="29"/>
      <c r="BV4" s="29" t="s">
        <v>46</v>
      </c>
      <c r="BW4" s="29"/>
      <c r="BX4" s="29"/>
      <c r="BY4" s="29" t="s">
        <v>467</v>
      </c>
      <c r="BZ4" s="29"/>
      <c r="CA4" s="29"/>
      <c r="CB4" s="29" t="s">
        <v>468</v>
      </c>
      <c r="CC4" s="29"/>
      <c r="CD4" s="29"/>
      <c r="CE4" s="29" t="s">
        <v>469</v>
      </c>
      <c r="CF4" s="29"/>
      <c r="CG4" s="29"/>
      <c r="CH4" s="29"/>
      <c r="CI4" s="29"/>
      <c r="CK4" s="29" t="s">
        <v>466</v>
      </c>
      <c r="CL4" s="29"/>
      <c r="CM4" s="35" t="n">
        <v>4</v>
      </c>
      <c r="CN4" s="35"/>
      <c r="CO4" s="35"/>
      <c r="CP4" s="36" t="n">
        <v>2</v>
      </c>
      <c r="CQ4" s="36"/>
      <c r="CR4" s="36"/>
      <c r="CS4" s="36" t="n">
        <v>2</v>
      </c>
      <c r="CT4" s="36"/>
      <c r="CU4" s="36"/>
      <c r="CV4" s="36" t="n">
        <v>3</v>
      </c>
      <c r="CW4" s="36"/>
      <c r="CX4" s="36"/>
      <c r="CY4" s="36" t="n">
        <v>4</v>
      </c>
      <c r="CZ4" s="36"/>
      <c r="DA4" s="36"/>
      <c r="DB4" s="36" t="n">
        <v>5</v>
      </c>
      <c r="DC4" s="36"/>
      <c r="DD4" s="36"/>
      <c r="DE4" s="36" t="n">
        <v>3</v>
      </c>
      <c r="DF4" s="36"/>
      <c r="DG4" s="36"/>
      <c r="DH4" s="36" t="n">
        <v>2</v>
      </c>
      <c r="DI4" s="36"/>
      <c r="DJ4" s="36"/>
      <c r="DK4" s="36" t="n">
        <v>2</v>
      </c>
      <c r="DL4" s="36"/>
      <c r="DM4" s="36"/>
      <c r="DN4" s="35" t="n">
        <v>4</v>
      </c>
      <c r="DO4" s="35"/>
      <c r="DP4" s="35"/>
      <c r="DQ4" s="35"/>
      <c r="DR4" s="35"/>
      <c r="DS4" s="35"/>
      <c r="DT4" s="35"/>
      <c r="DU4" s="35"/>
      <c r="DV4" s="35"/>
      <c r="DW4" s="29" t="s">
        <v>469</v>
      </c>
      <c r="DX4" s="29"/>
      <c r="DY4" s="29"/>
      <c r="DZ4" s="29"/>
      <c r="EA4" s="29"/>
    </row>
    <row r="5" customFormat="false" ht="25.5" hidden="false" customHeight="true" outlineLevel="0" collapsed="false">
      <c r="A5" s="37" t="s">
        <v>470</v>
      </c>
      <c r="B5" s="37"/>
      <c r="C5" s="37"/>
      <c r="D5" s="29" t="s">
        <v>1</v>
      </c>
      <c r="E5" s="29"/>
      <c r="F5" s="29"/>
      <c r="G5" s="29" t="s">
        <v>8</v>
      </c>
      <c r="H5" s="29"/>
      <c r="I5" s="29"/>
      <c r="J5" s="29" t="s">
        <v>284</v>
      </c>
      <c r="K5" s="29"/>
      <c r="L5" s="29"/>
      <c r="M5" s="38" t="s">
        <v>47</v>
      </c>
      <c r="N5" s="38"/>
      <c r="O5" s="38"/>
      <c r="P5" s="29" t="s">
        <v>243</v>
      </c>
      <c r="Q5" s="29"/>
      <c r="R5" s="29"/>
      <c r="S5" s="29" t="s">
        <v>16</v>
      </c>
      <c r="T5" s="29"/>
      <c r="U5" s="29"/>
      <c r="V5" s="38" t="s">
        <v>12</v>
      </c>
      <c r="W5" s="38"/>
      <c r="X5" s="38"/>
      <c r="Y5" s="29" t="s">
        <v>4</v>
      </c>
      <c r="Z5" s="29"/>
      <c r="AA5" s="29"/>
      <c r="AB5" s="29" t="s">
        <v>5</v>
      </c>
      <c r="AC5" s="29"/>
      <c r="AD5" s="29"/>
      <c r="AE5" s="29" t="s">
        <v>3</v>
      </c>
      <c r="AF5" s="29"/>
      <c r="AG5" s="29"/>
      <c r="AH5" s="29" t="s">
        <v>471</v>
      </c>
      <c r="AI5" s="29"/>
      <c r="AJ5" s="29"/>
      <c r="AK5" s="29" t="s">
        <v>472</v>
      </c>
      <c r="AL5" s="29"/>
      <c r="AM5" s="29"/>
      <c r="AN5" s="39"/>
      <c r="AO5" s="39"/>
      <c r="AP5" s="39"/>
      <c r="AQ5" s="39"/>
      <c r="AS5" s="40" t="s">
        <v>473</v>
      </c>
      <c r="AT5" s="40"/>
      <c r="AU5" s="40"/>
      <c r="AV5" s="29" t="s">
        <v>1</v>
      </c>
      <c r="AW5" s="29"/>
      <c r="AX5" s="29"/>
      <c r="AY5" s="29" t="s">
        <v>8</v>
      </c>
      <c r="AZ5" s="29"/>
      <c r="BA5" s="29"/>
      <c r="BB5" s="29" t="s">
        <v>284</v>
      </c>
      <c r="BC5" s="29"/>
      <c r="BD5" s="29"/>
      <c r="BE5" s="38" t="s">
        <v>47</v>
      </c>
      <c r="BF5" s="38"/>
      <c r="BG5" s="38"/>
      <c r="BH5" s="29" t="s">
        <v>243</v>
      </c>
      <c r="BI5" s="29"/>
      <c r="BJ5" s="29"/>
      <c r="BK5" s="29" t="s">
        <v>16</v>
      </c>
      <c r="BL5" s="29"/>
      <c r="BM5" s="29"/>
      <c r="BN5" s="38" t="s">
        <v>12</v>
      </c>
      <c r="BO5" s="38"/>
      <c r="BP5" s="38"/>
      <c r="BQ5" s="29" t="s">
        <v>4</v>
      </c>
      <c r="BR5" s="29"/>
      <c r="BS5" s="29"/>
      <c r="BT5" s="29" t="s">
        <v>5</v>
      </c>
      <c r="BU5" s="29"/>
      <c r="BV5" s="29"/>
      <c r="BW5" s="29" t="s">
        <v>3</v>
      </c>
      <c r="BX5" s="29"/>
      <c r="BY5" s="29"/>
      <c r="BZ5" s="29" t="s">
        <v>471</v>
      </c>
      <c r="CA5" s="29"/>
      <c r="CB5" s="29"/>
      <c r="CC5" s="29" t="s">
        <v>472</v>
      </c>
      <c r="CD5" s="29"/>
      <c r="CE5" s="29"/>
      <c r="CF5" s="39"/>
      <c r="CG5" s="39"/>
      <c r="CH5" s="39"/>
      <c r="CI5" s="39"/>
      <c r="CK5" s="36" t="s">
        <v>470</v>
      </c>
      <c r="CL5" s="36"/>
      <c r="CM5" s="36"/>
      <c r="CN5" s="36" t="n">
        <v>1.5</v>
      </c>
      <c r="CO5" s="36"/>
      <c r="CP5" s="36"/>
      <c r="CQ5" s="36" t="n">
        <v>1</v>
      </c>
      <c r="CR5" s="36"/>
      <c r="CS5" s="36"/>
      <c r="CT5" s="36" t="n">
        <v>1</v>
      </c>
      <c r="CU5" s="36"/>
      <c r="CV5" s="36"/>
      <c r="CW5" s="41" t="n">
        <v>1</v>
      </c>
      <c r="CX5" s="41"/>
      <c r="CY5" s="41"/>
      <c r="CZ5" s="36" t="n">
        <v>3</v>
      </c>
      <c r="DA5" s="36"/>
      <c r="DB5" s="36"/>
      <c r="DC5" s="36" t="n">
        <v>3</v>
      </c>
      <c r="DD5" s="36"/>
      <c r="DE5" s="36"/>
      <c r="DF5" s="41" t="n">
        <v>1</v>
      </c>
      <c r="DG5" s="41"/>
      <c r="DH5" s="41"/>
      <c r="DI5" s="36" t="n">
        <v>1</v>
      </c>
      <c r="DJ5" s="36"/>
      <c r="DK5" s="36"/>
      <c r="DL5" s="36" t="n">
        <v>1</v>
      </c>
      <c r="DM5" s="36"/>
      <c r="DN5" s="36"/>
      <c r="DO5" s="36" t="n">
        <v>1.5</v>
      </c>
      <c r="DP5" s="36"/>
      <c r="DQ5" s="36"/>
      <c r="DR5" s="35"/>
      <c r="DS5" s="35"/>
      <c r="DT5" s="35"/>
      <c r="DU5" s="35"/>
      <c r="DV5" s="35"/>
      <c r="DW5" s="35"/>
      <c r="DX5" s="39"/>
      <c r="DY5" s="39"/>
      <c r="DZ5" s="39"/>
      <c r="EA5" s="39"/>
    </row>
    <row r="6" customFormat="false" ht="25.5" hidden="false" customHeight="true" outlineLevel="0" collapsed="false">
      <c r="A6" s="37" t="s">
        <v>474</v>
      </c>
      <c r="B6" s="37"/>
      <c r="C6" s="37"/>
      <c r="D6" s="37"/>
      <c r="E6" s="37" t="s">
        <v>7</v>
      </c>
      <c r="F6" s="37"/>
      <c r="G6" s="37"/>
      <c r="H6" s="37" t="s">
        <v>384</v>
      </c>
      <c r="I6" s="37"/>
      <c r="J6" s="37"/>
      <c r="K6" s="37" t="s">
        <v>353</v>
      </c>
      <c r="L6" s="37"/>
      <c r="M6" s="37"/>
      <c r="N6" s="37" t="s">
        <v>9</v>
      </c>
      <c r="O6" s="37"/>
      <c r="P6" s="37"/>
      <c r="Q6" s="37" t="s">
        <v>307</v>
      </c>
      <c r="R6" s="37"/>
      <c r="S6" s="37"/>
      <c r="T6" s="37" t="s">
        <v>13</v>
      </c>
      <c r="U6" s="37"/>
      <c r="V6" s="37"/>
      <c r="W6" s="37" t="s">
        <v>15</v>
      </c>
      <c r="X6" s="37"/>
      <c r="Y6" s="37"/>
      <c r="Z6" s="37" t="s">
        <v>475</v>
      </c>
      <c r="AA6" s="37"/>
      <c r="AB6" s="37"/>
      <c r="AC6" s="29" t="s">
        <v>476</v>
      </c>
      <c r="AD6" s="29"/>
      <c r="AE6" s="29"/>
      <c r="AF6" s="29" t="s">
        <v>477</v>
      </c>
      <c r="AG6" s="29"/>
      <c r="AH6" s="29"/>
      <c r="AI6" s="29" t="s">
        <v>464</v>
      </c>
      <c r="AJ6" s="29"/>
      <c r="AK6" s="29" t="s">
        <v>474</v>
      </c>
      <c r="AL6" s="29" t="s">
        <v>474</v>
      </c>
      <c r="AM6" s="29"/>
      <c r="AN6" s="29"/>
      <c r="AO6" s="29"/>
      <c r="AP6" s="29"/>
      <c r="AQ6" s="29"/>
      <c r="AS6" s="37" t="s">
        <v>474</v>
      </c>
      <c r="AT6" s="37"/>
      <c r="AU6" s="37"/>
      <c r="AV6" s="37"/>
      <c r="AW6" s="37" t="s">
        <v>7</v>
      </c>
      <c r="AX6" s="37"/>
      <c r="AY6" s="37"/>
      <c r="AZ6" s="37" t="s">
        <v>384</v>
      </c>
      <c r="BA6" s="37"/>
      <c r="BB6" s="37"/>
      <c r="BC6" s="37" t="s">
        <v>353</v>
      </c>
      <c r="BD6" s="37"/>
      <c r="BE6" s="37"/>
      <c r="BF6" s="37" t="s">
        <v>9</v>
      </c>
      <c r="BG6" s="37"/>
      <c r="BH6" s="37"/>
      <c r="BI6" s="37" t="s">
        <v>307</v>
      </c>
      <c r="BJ6" s="37"/>
      <c r="BK6" s="37"/>
      <c r="BL6" s="37" t="s">
        <v>13</v>
      </c>
      <c r="BM6" s="37"/>
      <c r="BN6" s="37"/>
      <c r="BO6" s="37" t="s">
        <v>15</v>
      </c>
      <c r="BP6" s="37"/>
      <c r="BQ6" s="37"/>
      <c r="BR6" s="37" t="s">
        <v>475</v>
      </c>
      <c r="BS6" s="37"/>
      <c r="BT6" s="37"/>
      <c r="BU6" s="29" t="s">
        <v>476</v>
      </c>
      <c r="BV6" s="29"/>
      <c r="BW6" s="29"/>
      <c r="BX6" s="29" t="s">
        <v>477</v>
      </c>
      <c r="BY6" s="29"/>
      <c r="BZ6" s="29"/>
      <c r="CA6" s="29" t="s">
        <v>464</v>
      </c>
      <c r="CB6" s="29"/>
      <c r="CC6" s="29" t="s">
        <v>474</v>
      </c>
      <c r="CD6" s="29" t="s">
        <v>474</v>
      </c>
      <c r="CE6" s="29"/>
      <c r="CF6" s="29"/>
      <c r="CG6" s="29"/>
      <c r="CH6" s="29"/>
      <c r="CI6" s="29"/>
      <c r="CK6" s="37" t="s">
        <v>474</v>
      </c>
      <c r="CL6" s="37"/>
      <c r="CM6" s="37"/>
      <c r="CN6" s="37"/>
      <c r="CO6" s="35" t="n">
        <v>4</v>
      </c>
      <c r="CP6" s="35"/>
      <c r="CQ6" s="35"/>
      <c r="CR6" s="35" t="n">
        <v>4</v>
      </c>
      <c r="CS6" s="35"/>
      <c r="CT6" s="35"/>
      <c r="CU6" s="36" t="n">
        <v>3</v>
      </c>
      <c r="CV6" s="36"/>
      <c r="CW6" s="36"/>
      <c r="CX6" s="36" t="n">
        <v>2</v>
      </c>
      <c r="CY6" s="36"/>
      <c r="CZ6" s="36"/>
      <c r="DA6" s="36" t="n">
        <v>5</v>
      </c>
      <c r="DB6" s="36"/>
      <c r="DC6" s="36"/>
      <c r="DD6" s="36" t="n">
        <v>3</v>
      </c>
      <c r="DE6" s="36"/>
      <c r="DF6" s="36"/>
      <c r="DG6" s="36" t="n">
        <v>2</v>
      </c>
      <c r="DH6" s="36"/>
      <c r="DI6" s="36"/>
      <c r="DJ6" s="36" t="n">
        <v>3</v>
      </c>
      <c r="DK6" s="36"/>
      <c r="DL6" s="36"/>
      <c r="DM6" s="35" t="n">
        <v>4</v>
      </c>
      <c r="DN6" s="35"/>
      <c r="DO6" s="35"/>
      <c r="DP6" s="35" t="n">
        <v>4</v>
      </c>
      <c r="DQ6" s="35"/>
      <c r="DR6" s="35"/>
      <c r="DS6" s="35"/>
      <c r="DT6" s="35"/>
      <c r="DU6" s="35" t="s">
        <v>474</v>
      </c>
      <c r="DV6" s="29" t="s">
        <v>474</v>
      </c>
      <c r="DW6" s="29"/>
      <c r="DX6" s="29"/>
      <c r="DY6" s="29"/>
      <c r="DZ6" s="29"/>
      <c r="EA6" s="29"/>
    </row>
    <row r="7" customFormat="false" ht="12.8" hidden="false" customHeight="true" outlineLevel="0" collapsed="false">
      <c r="A7" s="37" t="s">
        <v>478</v>
      </c>
      <c r="B7" s="37" t="s">
        <v>479</v>
      </c>
      <c r="C7" s="37"/>
      <c r="D7" s="37"/>
      <c r="E7" s="37" t="s">
        <v>480</v>
      </c>
      <c r="F7" s="37"/>
      <c r="G7" s="37"/>
      <c r="H7" s="37" t="s">
        <v>481</v>
      </c>
      <c r="I7" s="37"/>
      <c r="J7" s="37"/>
      <c r="K7" s="42" t="s">
        <v>482</v>
      </c>
      <c r="L7" s="42"/>
      <c r="M7" s="42"/>
      <c r="N7" s="37" t="s">
        <v>483</v>
      </c>
      <c r="O7" s="37"/>
      <c r="P7" s="37" t="s">
        <v>484</v>
      </c>
      <c r="Q7" s="37"/>
      <c r="R7" s="37"/>
      <c r="S7" s="37"/>
      <c r="T7" s="37"/>
      <c r="U7" s="37"/>
      <c r="V7" s="37" t="s">
        <v>485</v>
      </c>
      <c r="W7" s="42" t="s">
        <v>485</v>
      </c>
      <c r="X7" s="42"/>
      <c r="Y7" s="42"/>
      <c r="Z7" s="43" t="s">
        <v>486</v>
      </c>
      <c r="AA7" s="43"/>
      <c r="AB7" s="43"/>
      <c r="AC7" s="37" t="s">
        <v>481</v>
      </c>
      <c r="AD7" s="37"/>
      <c r="AE7" s="37"/>
      <c r="AF7" s="37" t="s">
        <v>478</v>
      </c>
      <c r="AG7" s="37"/>
      <c r="AH7" s="37"/>
      <c r="AI7" s="44"/>
      <c r="AJ7" s="44"/>
      <c r="AK7" s="44"/>
      <c r="AL7" s="34" t="s">
        <v>487</v>
      </c>
      <c r="AM7" s="34"/>
      <c r="AN7" s="34"/>
      <c r="AO7" s="44"/>
      <c r="AP7" s="44"/>
      <c r="AQ7" s="44"/>
      <c r="AS7" s="37" t="s">
        <v>478</v>
      </c>
      <c r="AT7" s="37" t="s">
        <v>479</v>
      </c>
      <c r="AU7" s="37"/>
      <c r="AV7" s="37"/>
      <c r="AW7" s="37" t="s">
        <v>480</v>
      </c>
      <c r="AX7" s="37"/>
      <c r="AY7" s="37"/>
      <c r="AZ7" s="37" t="s">
        <v>481</v>
      </c>
      <c r="BA7" s="37"/>
      <c r="BB7" s="37"/>
      <c r="BC7" s="42" t="s">
        <v>461</v>
      </c>
      <c r="BD7" s="42"/>
      <c r="BE7" s="42"/>
      <c r="BF7" s="37" t="s">
        <v>483</v>
      </c>
      <c r="BG7" s="37"/>
      <c r="BH7" s="37" t="s">
        <v>484</v>
      </c>
      <c r="BI7" s="37"/>
      <c r="BJ7" s="37"/>
      <c r="BK7" s="37"/>
      <c r="BL7" s="37"/>
      <c r="BM7" s="37"/>
      <c r="BN7" s="37" t="s">
        <v>485</v>
      </c>
      <c r="BO7" s="37" t="s">
        <v>469</v>
      </c>
      <c r="BP7" s="37"/>
      <c r="BQ7" s="37"/>
      <c r="BR7" s="37" t="s">
        <v>469</v>
      </c>
      <c r="BS7" s="37"/>
      <c r="BT7" s="37"/>
      <c r="BU7" s="37" t="s">
        <v>481</v>
      </c>
      <c r="BV7" s="37"/>
      <c r="BW7" s="37"/>
      <c r="BX7" s="37" t="s">
        <v>478</v>
      </c>
      <c r="BY7" s="37"/>
      <c r="BZ7" s="37"/>
      <c r="CA7" s="44"/>
      <c r="CB7" s="44"/>
      <c r="CC7" s="44"/>
      <c r="CD7" s="34" t="s">
        <v>487</v>
      </c>
      <c r="CE7" s="34"/>
      <c r="CF7" s="34"/>
      <c r="CG7" s="44"/>
      <c r="CH7" s="44"/>
      <c r="CI7" s="44"/>
      <c r="CK7" s="37" t="s">
        <v>478</v>
      </c>
      <c r="CL7" s="37" t="s">
        <v>479</v>
      </c>
      <c r="CM7" s="37"/>
      <c r="CN7" s="37"/>
      <c r="CO7" s="37" t="s">
        <v>480</v>
      </c>
      <c r="CP7" s="37"/>
      <c r="CQ7" s="37"/>
      <c r="CR7" s="37" t="s">
        <v>481</v>
      </c>
      <c r="CS7" s="37"/>
      <c r="CT7" s="37"/>
      <c r="CU7" s="42" t="s">
        <v>482</v>
      </c>
      <c r="CV7" s="42"/>
      <c r="CW7" s="42"/>
      <c r="CX7" s="36" t="s">
        <v>483</v>
      </c>
      <c r="CY7" s="36"/>
      <c r="CZ7" s="36" t="s">
        <v>484</v>
      </c>
      <c r="DA7" s="36"/>
      <c r="DB7" s="36"/>
      <c r="DC7" s="36"/>
      <c r="DD7" s="36"/>
      <c r="DE7" s="36"/>
      <c r="DF7" s="36" t="s">
        <v>485</v>
      </c>
      <c r="DG7" s="42" t="s">
        <v>485</v>
      </c>
      <c r="DH7" s="42"/>
      <c r="DI7" s="42"/>
      <c r="DJ7" s="43" t="s">
        <v>486</v>
      </c>
      <c r="DK7" s="43"/>
      <c r="DL7" s="43"/>
      <c r="DM7" s="37" t="s">
        <v>481</v>
      </c>
      <c r="DN7" s="37"/>
      <c r="DO7" s="37"/>
      <c r="DP7" s="37" t="s">
        <v>478</v>
      </c>
      <c r="DQ7" s="37"/>
      <c r="DR7" s="37"/>
      <c r="DS7" s="44"/>
      <c r="DT7" s="44"/>
      <c r="DU7" s="44"/>
      <c r="DV7" s="34" t="s">
        <v>487</v>
      </c>
      <c r="DW7" s="34"/>
      <c r="DX7" s="34"/>
      <c r="DY7" s="44"/>
      <c r="DZ7" s="44"/>
      <c r="EA7" s="44"/>
    </row>
    <row r="8" customFormat="false" ht="12.8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42"/>
      <c r="L8" s="42"/>
      <c r="M8" s="42"/>
      <c r="N8" s="37"/>
      <c r="O8" s="37"/>
      <c r="P8" s="37"/>
      <c r="Q8" s="37"/>
      <c r="R8" s="37"/>
      <c r="S8" s="37"/>
      <c r="T8" s="37"/>
      <c r="U8" s="37"/>
      <c r="V8" s="37"/>
      <c r="W8" s="42"/>
      <c r="X8" s="42"/>
      <c r="Y8" s="42"/>
      <c r="Z8" s="43"/>
      <c r="AA8" s="43"/>
      <c r="AB8" s="43"/>
      <c r="AC8" s="37"/>
      <c r="AD8" s="37"/>
      <c r="AE8" s="37"/>
      <c r="AF8" s="37"/>
      <c r="AG8" s="37"/>
      <c r="AH8" s="37"/>
      <c r="AI8" s="34" t="s">
        <v>402</v>
      </c>
      <c r="AJ8" s="34"/>
      <c r="AK8" s="34" t="s">
        <v>488</v>
      </c>
      <c r="AL8" s="34" t="s">
        <v>488</v>
      </c>
      <c r="AM8" s="34"/>
      <c r="AN8" s="34"/>
      <c r="AO8" s="34" t="s">
        <v>400</v>
      </c>
      <c r="AP8" s="34"/>
      <c r="AQ8" s="34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42"/>
      <c r="BD8" s="42"/>
      <c r="BE8" s="42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4" t="s">
        <v>402</v>
      </c>
      <c r="CB8" s="34"/>
      <c r="CC8" s="34" t="s">
        <v>488</v>
      </c>
      <c r="CD8" s="34" t="s">
        <v>488</v>
      </c>
      <c r="CE8" s="34"/>
      <c r="CF8" s="34"/>
      <c r="CG8" s="34" t="s">
        <v>400</v>
      </c>
      <c r="CH8" s="34"/>
      <c r="CI8" s="34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42"/>
      <c r="CV8" s="42"/>
      <c r="CW8" s="42"/>
      <c r="CX8" s="36"/>
      <c r="CY8" s="36"/>
      <c r="CZ8" s="36"/>
      <c r="DA8" s="36"/>
      <c r="DB8" s="36"/>
      <c r="DC8" s="36"/>
      <c r="DD8" s="36"/>
      <c r="DE8" s="36"/>
      <c r="DF8" s="36"/>
      <c r="DG8" s="42"/>
      <c r="DH8" s="42"/>
      <c r="DI8" s="42"/>
      <c r="DJ8" s="43"/>
      <c r="DK8" s="43"/>
      <c r="DL8" s="43"/>
      <c r="DM8" s="37"/>
      <c r="DN8" s="37"/>
      <c r="DO8" s="37"/>
      <c r="DP8" s="37"/>
      <c r="DQ8" s="37"/>
      <c r="DR8" s="37"/>
      <c r="DS8" s="34" t="s">
        <v>402</v>
      </c>
      <c r="DT8" s="34"/>
      <c r="DU8" s="34" t="s">
        <v>488</v>
      </c>
      <c r="DV8" s="34" t="s">
        <v>488</v>
      </c>
      <c r="DW8" s="34"/>
      <c r="DX8" s="34"/>
      <c r="DY8" s="34" t="s">
        <v>400</v>
      </c>
      <c r="DZ8" s="34"/>
      <c r="EA8" s="34"/>
    </row>
    <row r="9" customFormat="false" ht="10" hidden="false" customHeight="true" outlineLevel="0" collapsed="false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</row>
    <row r="10" customFormat="false" ht="18.05" hidden="false" customHeight="true" outlineLevel="0" collapsed="false">
      <c r="A10" s="17" t="s">
        <v>489</v>
      </c>
      <c r="B10" s="17"/>
      <c r="C10" s="17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7"/>
      <c r="AS10" s="17" t="s">
        <v>490</v>
      </c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</row>
    <row r="11" customFormat="false" ht="25.5" hidden="false" customHeight="true" outlineLevel="0" collapsed="false">
      <c r="A11" s="34" t="s">
        <v>461</v>
      </c>
      <c r="B11" s="34" t="n">
        <v>1</v>
      </c>
      <c r="C11" s="34"/>
      <c r="D11" s="34"/>
      <c r="E11" s="34" t="n">
        <v>2</v>
      </c>
      <c r="F11" s="34"/>
      <c r="G11" s="34"/>
      <c r="H11" s="34" t="n">
        <v>3</v>
      </c>
      <c r="I11" s="34"/>
      <c r="J11" s="34"/>
      <c r="K11" s="34" t="n">
        <v>4</v>
      </c>
      <c r="L11" s="34"/>
      <c r="M11" s="34"/>
      <c r="N11" s="34" t="n">
        <v>5</v>
      </c>
      <c r="O11" s="34"/>
      <c r="P11" s="34"/>
      <c r="Q11" s="34" t="n">
        <v>6</v>
      </c>
      <c r="R11" s="34"/>
      <c r="S11" s="34"/>
      <c r="T11" s="34" t="n">
        <v>7</v>
      </c>
      <c r="U11" s="34"/>
      <c r="V11" s="34"/>
      <c r="W11" s="34" t="n">
        <v>8</v>
      </c>
      <c r="X11" s="34"/>
      <c r="Y11" s="34"/>
      <c r="Z11" s="34" t="n">
        <v>9</v>
      </c>
      <c r="AA11" s="34"/>
      <c r="AB11" s="34"/>
      <c r="AC11" s="34" t="n">
        <v>0</v>
      </c>
      <c r="AD11" s="34"/>
      <c r="AE11" s="34"/>
      <c r="AF11" s="29" t="s">
        <v>462</v>
      </c>
      <c r="AG11" s="29"/>
      <c r="AH11" s="29"/>
      <c r="AI11" s="29" t="s">
        <v>463</v>
      </c>
      <c r="AJ11" s="29"/>
      <c r="AK11" s="29"/>
      <c r="AL11" s="29" t="s">
        <v>464</v>
      </c>
      <c r="AM11" s="29"/>
      <c r="AN11" s="29"/>
      <c r="AO11" s="29" t="s">
        <v>465</v>
      </c>
      <c r="AP11" s="29"/>
      <c r="AQ11" s="29"/>
      <c r="AS11" s="34"/>
      <c r="AT11" s="46" t="s">
        <v>491</v>
      </c>
      <c r="AU11" s="46"/>
      <c r="AV11" s="46"/>
      <c r="AW11" s="47" t="s">
        <v>492</v>
      </c>
      <c r="AX11" s="47"/>
      <c r="AY11" s="47"/>
      <c r="AZ11" s="46" t="s">
        <v>493</v>
      </c>
      <c r="BA11" s="46"/>
      <c r="BB11" s="46"/>
      <c r="BC11" s="46" t="s">
        <v>494</v>
      </c>
      <c r="BD11" s="46"/>
      <c r="BE11" s="46"/>
      <c r="BF11" s="46" t="s">
        <v>495</v>
      </c>
      <c r="BG11" s="46"/>
      <c r="BH11" s="46"/>
      <c r="BI11" s="46" t="s">
        <v>496</v>
      </c>
      <c r="BJ11" s="46"/>
      <c r="BK11" s="46"/>
      <c r="BL11" s="46" t="s">
        <v>497</v>
      </c>
      <c r="BM11" s="46"/>
      <c r="BN11" s="46"/>
      <c r="BO11" s="46" t="s">
        <v>498</v>
      </c>
      <c r="BP11" s="46"/>
      <c r="BQ11" s="46"/>
      <c r="BR11" s="46" t="s">
        <v>499</v>
      </c>
      <c r="BS11" s="46"/>
      <c r="BT11" s="46"/>
      <c r="BU11" s="34"/>
      <c r="BV11" s="34"/>
      <c r="BW11" s="34"/>
      <c r="BX11" s="46" t="s">
        <v>500</v>
      </c>
      <c r="BY11" s="46"/>
      <c r="BZ11" s="46"/>
      <c r="CA11" s="46" t="s">
        <v>501</v>
      </c>
      <c r="CB11" s="46"/>
      <c r="CC11" s="46"/>
      <c r="CD11" s="46" t="s">
        <v>502</v>
      </c>
      <c r="CE11" s="46"/>
      <c r="CF11" s="46"/>
      <c r="CG11" s="34"/>
      <c r="CH11" s="34"/>
      <c r="CI11" s="34"/>
      <c r="CK11" s="42"/>
      <c r="CL11" s="29" t="s">
        <v>440</v>
      </c>
      <c r="CM11" s="29"/>
      <c r="CN11" s="29"/>
      <c r="CO11" s="29" t="s">
        <v>441</v>
      </c>
      <c r="CP11" s="29"/>
      <c r="CQ11" s="29"/>
      <c r="CR11" s="29" t="s">
        <v>442</v>
      </c>
      <c r="CS11" s="29"/>
      <c r="CT11" s="29"/>
      <c r="CU11" s="29" t="s">
        <v>443</v>
      </c>
      <c r="CV11" s="29"/>
      <c r="CW11" s="29"/>
      <c r="CX11" s="29" t="s">
        <v>444</v>
      </c>
      <c r="CY11" s="29"/>
      <c r="CZ11" s="29"/>
      <c r="DA11" s="46" t="s">
        <v>503</v>
      </c>
      <c r="DB11" s="46"/>
      <c r="DC11" s="46"/>
      <c r="DD11" s="46" t="s">
        <v>504</v>
      </c>
      <c r="DE11" s="46"/>
      <c r="DF11" s="46"/>
      <c r="DG11" s="46" t="s">
        <v>505</v>
      </c>
      <c r="DH11" s="46"/>
      <c r="DI11" s="46"/>
      <c r="DJ11" s="46" t="s">
        <v>506</v>
      </c>
      <c r="DK11" s="46"/>
      <c r="DL11" s="46"/>
      <c r="DM11" s="46" t="s">
        <v>507</v>
      </c>
      <c r="DN11" s="46"/>
      <c r="DO11" s="46"/>
      <c r="DP11" s="46" t="s">
        <v>508</v>
      </c>
      <c r="DQ11" s="46"/>
      <c r="DR11" s="46"/>
      <c r="DS11" s="46" t="s">
        <v>463</v>
      </c>
      <c r="DT11" s="46"/>
      <c r="DU11" s="46"/>
      <c r="DV11" s="46" t="s">
        <v>502</v>
      </c>
      <c r="DW11" s="46"/>
      <c r="DX11" s="46"/>
      <c r="DY11" s="42"/>
      <c r="DZ11" s="42"/>
      <c r="EA11" s="42"/>
    </row>
    <row r="12" customFormat="false" ht="25.5" hidden="false" customHeight="true" outlineLevel="0" collapsed="false">
      <c r="A12" s="29" t="s">
        <v>466</v>
      </c>
      <c r="B12" s="29"/>
      <c r="C12" s="29" t="s">
        <v>10</v>
      </c>
      <c r="D12" s="29"/>
      <c r="E12" s="29"/>
      <c r="F12" s="29" t="s">
        <v>6</v>
      </c>
      <c r="G12" s="29"/>
      <c r="H12" s="29"/>
      <c r="I12" s="29" t="s">
        <v>11</v>
      </c>
      <c r="J12" s="29"/>
      <c r="K12" s="29"/>
      <c r="L12" s="29" t="s">
        <v>209</v>
      </c>
      <c r="M12" s="29"/>
      <c r="N12" s="29"/>
      <c r="O12" s="29" t="s">
        <v>105</v>
      </c>
      <c r="P12" s="29"/>
      <c r="Q12" s="29"/>
      <c r="R12" s="29" t="s">
        <v>198</v>
      </c>
      <c r="S12" s="29"/>
      <c r="T12" s="29"/>
      <c r="U12" s="29" t="s">
        <v>14</v>
      </c>
      <c r="V12" s="29"/>
      <c r="W12" s="29"/>
      <c r="X12" s="29" t="s">
        <v>2</v>
      </c>
      <c r="Y12" s="29"/>
      <c r="Z12" s="29"/>
      <c r="AA12" s="29" t="s">
        <v>45</v>
      </c>
      <c r="AB12" s="29"/>
      <c r="AC12" s="29"/>
      <c r="AD12" s="29" t="s">
        <v>46</v>
      </c>
      <c r="AE12" s="29"/>
      <c r="AF12" s="29"/>
      <c r="AG12" s="29" t="s">
        <v>467</v>
      </c>
      <c r="AH12" s="29"/>
      <c r="AI12" s="29"/>
      <c r="AJ12" s="29" t="s">
        <v>468</v>
      </c>
      <c r="AK12" s="29"/>
      <c r="AL12" s="29"/>
      <c r="AM12" s="29" t="s">
        <v>469</v>
      </c>
      <c r="AN12" s="29"/>
      <c r="AO12" s="29"/>
      <c r="AP12" s="29"/>
      <c r="AQ12" s="29"/>
      <c r="AS12" s="29"/>
      <c r="AT12" s="29"/>
      <c r="AU12" s="46" t="s">
        <v>509</v>
      </c>
      <c r="AV12" s="46"/>
      <c r="AW12" s="46"/>
      <c r="AX12" s="46" t="s">
        <v>510</v>
      </c>
      <c r="AY12" s="46"/>
      <c r="AZ12" s="46"/>
      <c r="BA12" s="46" t="s">
        <v>511</v>
      </c>
      <c r="BB12" s="46"/>
      <c r="BC12" s="46"/>
      <c r="BD12" s="46" t="s">
        <v>53</v>
      </c>
      <c r="BE12" s="46"/>
      <c r="BF12" s="46"/>
      <c r="BG12" s="46" t="s">
        <v>512</v>
      </c>
      <c r="BH12" s="46"/>
      <c r="BI12" s="46"/>
      <c r="BJ12" s="46" t="s">
        <v>513</v>
      </c>
      <c r="BK12" s="46"/>
      <c r="BL12" s="46"/>
      <c r="BM12" s="46" t="s">
        <v>514</v>
      </c>
      <c r="BN12" s="46"/>
      <c r="BO12" s="46"/>
      <c r="BP12" s="46" t="s">
        <v>515</v>
      </c>
      <c r="BQ12" s="46"/>
      <c r="BR12" s="46"/>
      <c r="BS12" s="46" t="s">
        <v>516</v>
      </c>
      <c r="BT12" s="46"/>
      <c r="BU12" s="46"/>
      <c r="BV12" s="46" t="s">
        <v>517</v>
      </c>
      <c r="BW12" s="46"/>
      <c r="BX12" s="46"/>
      <c r="BY12" s="46" t="s">
        <v>518</v>
      </c>
      <c r="BZ12" s="46"/>
      <c r="CA12" s="46"/>
      <c r="CB12" s="46" t="s">
        <v>519</v>
      </c>
      <c r="CC12" s="46"/>
      <c r="CD12" s="46"/>
      <c r="CE12" s="29"/>
      <c r="CF12" s="29"/>
      <c r="CG12" s="29"/>
      <c r="CH12" s="29"/>
      <c r="CI12" s="29"/>
      <c r="CK12" s="42"/>
      <c r="CL12" s="42"/>
      <c r="CM12" s="48" t="s">
        <v>520</v>
      </c>
      <c r="CN12" s="48"/>
      <c r="CO12" s="48"/>
      <c r="CP12" s="48" t="s">
        <v>521</v>
      </c>
      <c r="CQ12" s="48"/>
      <c r="CR12" s="48"/>
      <c r="CS12" s="29" t="s">
        <v>477</v>
      </c>
      <c r="CT12" s="29"/>
      <c r="CU12" s="29"/>
      <c r="CV12" s="37" t="s">
        <v>507</v>
      </c>
      <c r="CW12" s="37"/>
      <c r="CX12" s="37"/>
      <c r="CY12" s="37" t="s">
        <v>522</v>
      </c>
      <c r="CZ12" s="37"/>
      <c r="DA12" s="37"/>
      <c r="DB12" s="49" t="s">
        <v>465</v>
      </c>
      <c r="DC12" s="49"/>
      <c r="DD12" s="49"/>
      <c r="DE12" s="49" t="s">
        <v>523</v>
      </c>
      <c r="DF12" s="49"/>
      <c r="DG12" s="49"/>
      <c r="DH12" s="49" t="s">
        <v>524</v>
      </c>
      <c r="DI12" s="49"/>
      <c r="DJ12" s="49"/>
      <c r="DK12" s="49" t="s">
        <v>525</v>
      </c>
      <c r="DL12" s="49"/>
      <c r="DM12" s="49"/>
      <c r="DN12" s="46" t="s">
        <v>522</v>
      </c>
      <c r="DO12" s="46"/>
      <c r="DP12" s="46"/>
      <c r="DQ12" s="47" t="s">
        <v>487</v>
      </c>
      <c r="DR12" s="47"/>
      <c r="DS12" s="47"/>
      <c r="DT12" s="50"/>
      <c r="DU12" s="50"/>
      <c r="DV12" s="50"/>
      <c r="DW12" s="42"/>
      <c r="DX12" s="42"/>
      <c r="DY12" s="42"/>
      <c r="DZ12" s="42"/>
      <c r="EA12" s="42"/>
    </row>
    <row r="13" customFormat="false" ht="25.5" hidden="false" customHeight="true" outlineLevel="0" collapsed="false">
      <c r="A13" s="37" t="s">
        <v>473</v>
      </c>
      <c r="B13" s="37"/>
      <c r="C13" s="37"/>
      <c r="D13" s="29" t="s">
        <v>1</v>
      </c>
      <c r="E13" s="29"/>
      <c r="F13" s="29"/>
      <c r="G13" s="29" t="s">
        <v>8</v>
      </c>
      <c r="H13" s="29"/>
      <c r="I13" s="29"/>
      <c r="J13" s="29" t="s">
        <v>284</v>
      </c>
      <c r="K13" s="29"/>
      <c r="L13" s="29"/>
      <c r="M13" s="38" t="s">
        <v>47</v>
      </c>
      <c r="N13" s="38"/>
      <c r="O13" s="38"/>
      <c r="P13" s="29" t="s">
        <v>243</v>
      </c>
      <c r="Q13" s="29"/>
      <c r="R13" s="29"/>
      <c r="S13" s="29" t="s">
        <v>16</v>
      </c>
      <c r="T13" s="29"/>
      <c r="U13" s="29"/>
      <c r="V13" s="38" t="s">
        <v>12</v>
      </c>
      <c r="W13" s="38"/>
      <c r="X13" s="38"/>
      <c r="Y13" s="29" t="s">
        <v>4</v>
      </c>
      <c r="Z13" s="29"/>
      <c r="AA13" s="29"/>
      <c r="AB13" s="29" t="s">
        <v>5</v>
      </c>
      <c r="AC13" s="29"/>
      <c r="AD13" s="29"/>
      <c r="AE13" s="29" t="s">
        <v>3</v>
      </c>
      <c r="AF13" s="29"/>
      <c r="AG13" s="29"/>
      <c r="AH13" s="29" t="s">
        <v>471</v>
      </c>
      <c r="AI13" s="29"/>
      <c r="AJ13" s="29"/>
      <c r="AK13" s="29" t="s">
        <v>472</v>
      </c>
      <c r="AL13" s="29"/>
      <c r="AM13" s="29"/>
      <c r="AN13" s="39"/>
      <c r="AO13" s="39"/>
      <c r="AP13" s="39"/>
      <c r="AQ13" s="39"/>
      <c r="AS13" s="37"/>
      <c r="AT13" s="37"/>
      <c r="AU13" s="37"/>
      <c r="AV13" s="46" t="s">
        <v>526</v>
      </c>
      <c r="AW13" s="46"/>
      <c r="AX13" s="46"/>
      <c r="AY13" s="46" t="s">
        <v>527</v>
      </c>
      <c r="AZ13" s="46"/>
      <c r="BA13" s="46"/>
      <c r="BB13" s="46" t="s">
        <v>528</v>
      </c>
      <c r="BC13" s="46"/>
      <c r="BD13" s="46"/>
      <c r="BE13" s="51" t="s">
        <v>529</v>
      </c>
      <c r="BF13" s="51"/>
      <c r="BG13" s="51"/>
      <c r="BH13" s="46" t="s">
        <v>530</v>
      </c>
      <c r="BI13" s="46"/>
      <c r="BJ13" s="46"/>
      <c r="BK13" s="46" t="s">
        <v>531</v>
      </c>
      <c r="BL13" s="46"/>
      <c r="BM13" s="46"/>
      <c r="BN13" s="51" t="s">
        <v>532</v>
      </c>
      <c r="BO13" s="51"/>
      <c r="BP13" s="51"/>
      <c r="BQ13" s="46" t="s">
        <v>533</v>
      </c>
      <c r="BR13" s="46"/>
      <c r="BS13" s="46"/>
      <c r="BT13" s="46" t="s">
        <v>78</v>
      </c>
      <c r="BU13" s="46"/>
      <c r="BV13" s="46"/>
      <c r="BW13" s="46" t="s">
        <v>534</v>
      </c>
      <c r="BX13" s="46"/>
      <c r="BY13" s="46"/>
      <c r="BZ13" s="46" t="s">
        <v>535</v>
      </c>
      <c r="CA13" s="46"/>
      <c r="CB13" s="46"/>
      <c r="CC13" s="46" t="s">
        <v>536</v>
      </c>
      <c r="CD13" s="46"/>
      <c r="CE13" s="46"/>
      <c r="CF13" s="39"/>
      <c r="CG13" s="39"/>
      <c r="CH13" s="39"/>
      <c r="CI13" s="39"/>
      <c r="CK13" s="40"/>
      <c r="CL13" s="40"/>
      <c r="CM13" s="40"/>
      <c r="CN13" s="52" t="s">
        <v>498</v>
      </c>
      <c r="CO13" s="52"/>
      <c r="CP13" s="52"/>
      <c r="CQ13" s="48" t="s">
        <v>499</v>
      </c>
      <c r="CR13" s="48"/>
      <c r="CS13" s="48"/>
      <c r="CT13" s="46" t="s">
        <v>537</v>
      </c>
      <c r="CU13" s="46"/>
      <c r="CV13" s="46"/>
      <c r="CW13" s="38" t="s">
        <v>462</v>
      </c>
      <c r="CX13" s="38"/>
      <c r="CY13" s="38"/>
      <c r="CZ13" s="49" t="s">
        <v>500</v>
      </c>
      <c r="DA13" s="49"/>
      <c r="DB13" s="49"/>
      <c r="DC13" s="48" t="s">
        <v>469</v>
      </c>
      <c r="DD13" s="48"/>
      <c r="DE13" s="48"/>
      <c r="DF13" s="51" t="s">
        <v>538</v>
      </c>
      <c r="DG13" s="51"/>
      <c r="DH13" s="51"/>
      <c r="DI13" s="46" t="s">
        <v>539</v>
      </c>
      <c r="DJ13" s="46"/>
      <c r="DK13" s="46"/>
      <c r="DL13" s="46" t="s">
        <v>540</v>
      </c>
      <c r="DM13" s="46"/>
      <c r="DN13" s="46"/>
      <c r="DO13" s="47" t="s">
        <v>402</v>
      </c>
      <c r="DP13" s="47"/>
      <c r="DQ13" s="47"/>
      <c r="DR13" s="47" t="s">
        <v>488</v>
      </c>
      <c r="DS13" s="47"/>
      <c r="DT13" s="47"/>
      <c r="DU13" s="47" t="s">
        <v>400</v>
      </c>
      <c r="DV13" s="47"/>
      <c r="DW13" s="47"/>
      <c r="DX13" s="53"/>
      <c r="DY13" s="53"/>
      <c r="DZ13" s="53"/>
      <c r="EA13" s="53"/>
    </row>
    <row r="14" customFormat="false" ht="25.5" hidden="false" customHeight="true" outlineLevel="0" collapsed="false">
      <c r="A14" s="37" t="s">
        <v>474</v>
      </c>
      <c r="B14" s="37"/>
      <c r="C14" s="37"/>
      <c r="D14" s="37"/>
      <c r="E14" s="37" t="s">
        <v>7</v>
      </c>
      <c r="F14" s="37"/>
      <c r="G14" s="37"/>
      <c r="H14" s="37" t="s">
        <v>384</v>
      </c>
      <c r="I14" s="37"/>
      <c r="J14" s="37"/>
      <c r="K14" s="37" t="s">
        <v>353</v>
      </c>
      <c r="L14" s="37"/>
      <c r="M14" s="37"/>
      <c r="N14" s="37" t="s">
        <v>9</v>
      </c>
      <c r="O14" s="37"/>
      <c r="P14" s="37"/>
      <c r="Q14" s="37" t="s">
        <v>307</v>
      </c>
      <c r="R14" s="37"/>
      <c r="S14" s="37"/>
      <c r="T14" s="37" t="s">
        <v>13</v>
      </c>
      <c r="U14" s="37"/>
      <c r="V14" s="37"/>
      <c r="W14" s="37" t="s">
        <v>15</v>
      </c>
      <c r="X14" s="37"/>
      <c r="Y14" s="37"/>
      <c r="Z14" s="37" t="s">
        <v>475</v>
      </c>
      <c r="AA14" s="37"/>
      <c r="AB14" s="37"/>
      <c r="AC14" s="29" t="s">
        <v>476</v>
      </c>
      <c r="AD14" s="29"/>
      <c r="AE14" s="29"/>
      <c r="AF14" s="29" t="s">
        <v>477</v>
      </c>
      <c r="AG14" s="29"/>
      <c r="AH14" s="29"/>
      <c r="AI14" s="29" t="s">
        <v>464</v>
      </c>
      <c r="AJ14" s="29"/>
      <c r="AK14" s="29" t="s">
        <v>474</v>
      </c>
      <c r="AL14" s="29" t="s">
        <v>474</v>
      </c>
      <c r="AM14" s="29"/>
      <c r="AN14" s="29"/>
      <c r="AO14" s="29"/>
      <c r="AP14" s="29"/>
      <c r="AQ14" s="29"/>
      <c r="AS14" s="37"/>
      <c r="AT14" s="37"/>
      <c r="AU14" s="37"/>
      <c r="AV14" s="37"/>
      <c r="AW14" s="46" t="s">
        <v>541</v>
      </c>
      <c r="AX14" s="46"/>
      <c r="AY14" s="46"/>
      <c r="AZ14" s="46" t="s">
        <v>542</v>
      </c>
      <c r="BA14" s="46"/>
      <c r="BB14" s="46"/>
      <c r="BC14" s="46" t="s">
        <v>543</v>
      </c>
      <c r="BD14" s="46"/>
      <c r="BE14" s="46"/>
      <c r="BF14" s="46" t="s">
        <v>544</v>
      </c>
      <c r="BG14" s="46"/>
      <c r="BH14" s="46"/>
      <c r="BI14" s="46" t="s">
        <v>545</v>
      </c>
      <c r="BJ14" s="46"/>
      <c r="BK14" s="46"/>
      <c r="BL14" s="46" t="s">
        <v>546</v>
      </c>
      <c r="BM14" s="46"/>
      <c r="BN14" s="46"/>
      <c r="BO14" s="46" t="s">
        <v>547</v>
      </c>
      <c r="BP14" s="46"/>
      <c r="BQ14" s="46"/>
      <c r="BR14" s="46" t="s">
        <v>548</v>
      </c>
      <c r="BS14" s="46"/>
      <c r="BT14" s="46"/>
      <c r="BU14" s="46" t="s">
        <v>549</v>
      </c>
      <c r="BV14" s="46"/>
      <c r="BW14" s="46"/>
      <c r="BX14" s="46" t="s">
        <v>520</v>
      </c>
      <c r="BY14" s="46"/>
      <c r="BZ14" s="46"/>
      <c r="CA14" s="46" t="s">
        <v>537</v>
      </c>
      <c r="CB14" s="46"/>
      <c r="CC14" s="46" t="s">
        <v>474</v>
      </c>
      <c r="CD14" s="29"/>
      <c r="CE14" s="29"/>
      <c r="CF14" s="29"/>
      <c r="CG14" s="29"/>
      <c r="CH14" s="29"/>
      <c r="CI14" s="29"/>
      <c r="CK14" s="42"/>
      <c r="CL14" s="42"/>
      <c r="CM14" s="42"/>
      <c r="CN14" s="42"/>
      <c r="CO14" s="40" t="s">
        <v>550</v>
      </c>
      <c r="CP14" s="40"/>
      <c r="CQ14" s="40"/>
      <c r="CR14" s="40" t="s">
        <v>551</v>
      </c>
      <c r="CS14" s="40"/>
      <c r="CT14" s="40"/>
      <c r="CU14" s="40" t="s">
        <v>552</v>
      </c>
      <c r="CV14" s="40"/>
      <c r="CW14" s="40"/>
      <c r="CX14" s="40" t="s">
        <v>553</v>
      </c>
      <c r="CY14" s="40"/>
      <c r="CZ14" s="40"/>
      <c r="DA14" s="40" t="s">
        <v>550</v>
      </c>
      <c r="DB14" s="40"/>
      <c r="DC14" s="40"/>
      <c r="DD14" s="49" t="s">
        <v>456</v>
      </c>
      <c r="DE14" s="49"/>
      <c r="DF14" s="49"/>
      <c r="DG14" s="49" t="s">
        <v>554</v>
      </c>
      <c r="DH14" s="49"/>
      <c r="DI14" s="49"/>
      <c r="DJ14" s="49" t="s">
        <v>475</v>
      </c>
      <c r="DK14" s="49"/>
      <c r="DL14" s="49"/>
      <c r="DM14" s="49" t="s">
        <v>555</v>
      </c>
      <c r="DN14" s="49"/>
      <c r="DO14" s="49"/>
      <c r="DP14" s="49" t="s">
        <v>556</v>
      </c>
      <c r="DQ14" s="49"/>
      <c r="DR14" s="49"/>
      <c r="DS14" s="49" t="s">
        <v>464</v>
      </c>
      <c r="DT14" s="49"/>
      <c r="DU14" s="49"/>
      <c r="DV14" s="42"/>
      <c r="DW14" s="42"/>
      <c r="DX14" s="42"/>
      <c r="DY14" s="42"/>
      <c r="DZ14" s="42"/>
      <c r="EA14" s="42"/>
    </row>
    <row r="15" customFormat="false" ht="12.8" hidden="false" customHeight="false" outlineLevel="0" collapsed="false">
      <c r="A15" s="37" t="s">
        <v>478</v>
      </c>
      <c r="B15" s="37" t="s">
        <v>479</v>
      </c>
      <c r="C15" s="37"/>
      <c r="D15" s="37"/>
      <c r="E15" s="37" t="s">
        <v>480</v>
      </c>
      <c r="F15" s="37"/>
      <c r="G15" s="37"/>
      <c r="H15" s="37" t="s">
        <v>481</v>
      </c>
      <c r="I15" s="37"/>
      <c r="J15" s="37"/>
      <c r="K15" s="42" t="s">
        <v>482</v>
      </c>
      <c r="L15" s="42"/>
      <c r="M15" s="42"/>
      <c r="N15" s="37" t="s">
        <v>483</v>
      </c>
      <c r="O15" s="37"/>
      <c r="P15" s="37" t="s">
        <v>484</v>
      </c>
      <c r="Q15" s="37"/>
      <c r="R15" s="37"/>
      <c r="S15" s="37"/>
      <c r="T15" s="37"/>
      <c r="U15" s="37"/>
      <c r="V15" s="37" t="s">
        <v>485</v>
      </c>
      <c r="W15" s="42" t="s">
        <v>485</v>
      </c>
      <c r="X15" s="42"/>
      <c r="Y15" s="42"/>
      <c r="Z15" s="37" t="s">
        <v>557</v>
      </c>
      <c r="AA15" s="37"/>
      <c r="AB15" s="37"/>
      <c r="AC15" s="37" t="s">
        <v>481</v>
      </c>
      <c r="AD15" s="37"/>
      <c r="AE15" s="37"/>
      <c r="AF15" s="37" t="s">
        <v>478</v>
      </c>
      <c r="AG15" s="37"/>
      <c r="AH15" s="37"/>
      <c r="AI15" s="44"/>
      <c r="AJ15" s="44"/>
      <c r="AK15" s="44"/>
      <c r="AL15" s="34" t="s">
        <v>487</v>
      </c>
      <c r="AM15" s="34"/>
      <c r="AN15" s="34"/>
      <c r="AO15" s="44"/>
      <c r="AP15" s="44"/>
      <c r="AQ15" s="44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44"/>
      <c r="CB15" s="44"/>
      <c r="CC15" s="44"/>
      <c r="CD15" s="34"/>
      <c r="CE15" s="34"/>
      <c r="CF15" s="34"/>
      <c r="CG15" s="44"/>
      <c r="CH15" s="44"/>
      <c r="CI15" s="44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44"/>
      <c r="DT15" s="44"/>
      <c r="DU15" s="44"/>
      <c r="DV15" s="34"/>
      <c r="DW15" s="34"/>
      <c r="DX15" s="34"/>
      <c r="DY15" s="44"/>
      <c r="DZ15" s="44"/>
      <c r="EA15" s="44"/>
    </row>
    <row r="16" customFormat="false" ht="12.8" hidden="false" customHeight="fals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42"/>
      <c r="L16" s="42"/>
      <c r="M16" s="42"/>
      <c r="N16" s="37"/>
      <c r="O16" s="37"/>
      <c r="P16" s="37"/>
      <c r="Q16" s="37"/>
      <c r="R16" s="37"/>
      <c r="S16" s="37"/>
      <c r="T16" s="37"/>
      <c r="U16" s="37"/>
      <c r="V16" s="37"/>
      <c r="W16" s="42"/>
      <c r="X16" s="42"/>
      <c r="Y16" s="42"/>
      <c r="Z16" s="37"/>
      <c r="AA16" s="37"/>
      <c r="AB16" s="37"/>
      <c r="AC16" s="37"/>
      <c r="AD16" s="37"/>
      <c r="AE16" s="37"/>
      <c r="AF16" s="37"/>
      <c r="AG16" s="37"/>
      <c r="AH16" s="37"/>
      <c r="AI16" s="34" t="s">
        <v>402</v>
      </c>
      <c r="AJ16" s="34"/>
      <c r="AK16" s="34" t="s">
        <v>488</v>
      </c>
      <c r="AL16" s="34" t="s">
        <v>488</v>
      </c>
      <c r="AM16" s="34"/>
      <c r="AN16" s="34"/>
      <c r="AO16" s="34" t="s">
        <v>400</v>
      </c>
      <c r="AP16" s="34"/>
      <c r="AQ16" s="34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4"/>
      <c r="CB16" s="34"/>
      <c r="CC16" s="34"/>
      <c r="CD16" s="34"/>
      <c r="CE16" s="34"/>
      <c r="CF16" s="34"/>
      <c r="CG16" s="34"/>
      <c r="CH16" s="34"/>
      <c r="CI16" s="34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4"/>
      <c r="DT16" s="34"/>
      <c r="DU16" s="34"/>
      <c r="DV16" s="34"/>
      <c r="DW16" s="34"/>
      <c r="DX16" s="34"/>
      <c r="DY16" s="34"/>
      <c r="DZ16" s="34"/>
      <c r="EA16" s="34"/>
    </row>
    <row r="17" customFormat="false" ht="12.8" hidden="false" customHeight="fals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 t="s">
        <v>281</v>
      </c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</row>
    <row r="18" customFormat="false" ht="12.8" hidden="false" customHeight="false" outlineLevel="0" collapsed="false">
      <c r="A18" s="54" t="s">
        <v>558</v>
      </c>
      <c r="B18" s="27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7"/>
      <c r="AM18" s="25" t="s">
        <v>509</v>
      </c>
      <c r="AS18" s="55" t="s">
        <v>559</v>
      </c>
      <c r="CK18" s="55" t="s">
        <v>560</v>
      </c>
    </row>
    <row r="19" customFormat="false" ht="25.5" hidden="false" customHeight="true" outlineLevel="0" collapsed="false">
      <c r="A19" s="56"/>
      <c r="B19" s="29" t="s">
        <v>440</v>
      </c>
      <c r="C19" s="29"/>
      <c r="D19" s="29"/>
      <c r="E19" s="29" t="s">
        <v>441</v>
      </c>
      <c r="F19" s="29"/>
      <c r="G19" s="29"/>
      <c r="H19" s="29" t="s">
        <v>442</v>
      </c>
      <c r="I19" s="29"/>
      <c r="J19" s="29"/>
      <c r="K19" s="29" t="s">
        <v>443</v>
      </c>
      <c r="L19" s="29"/>
      <c r="M19" s="29"/>
      <c r="N19" s="29" t="s">
        <v>444</v>
      </c>
      <c r="O19" s="29"/>
      <c r="P19" s="29"/>
      <c r="Q19" s="29" t="s">
        <v>445</v>
      </c>
      <c r="R19" s="29"/>
      <c r="S19" s="29"/>
      <c r="T19" s="29" t="s">
        <v>446</v>
      </c>
      <c r="U19" s="29"/>
      <c r="V19" s="29"/>
      <c r="W19" s="29" t="s">
        <v>447</v>
      </c>
      <c r="X19" s="29"/>
      <c r="Y19" s="29"/>
      <c r="Z19" s="29" t="s">
        <v>448</v>
      </c>
      <c r="AA19" s="29"/>
      <c r="AB19" s="29"/>
      <c r="AC19" s="29" t="s">
        <v>449</v>
      </c>
      <c r="AD19" s="29"/>
      <c r="AE19" s="29"/>
      <c r="AF19" s="29" t="s">
        <v>450</v>
      </c>
      <c r="AG19" s="29"/>
      <c r="AH19" s="29"/>
      <c r="AI19" s="29" t="s">
        <v>451</v>
      </c>
      <c r="AJ19" s="29"/>
      <c r="AK19" s="29"/>
      <c r="AL19" s="48" t="s">
        <v>561</v>
      </c>
      <c r="AM19" s="48"/>
      <c r="AN19" s="48"/>
      <c r="AO19" s="56"/>
      <c r="AP19" s="56"/>
      <c r="AQ19" s="56"/>
      <c r="AS19" s="42"/>
      <c r="AT19" s="37" t="s">
        <v>440</v>
      </c>
      <c r="AU19" s="37"/>
      <c r="AV19" s="37"/>
      <c r="AW19" s="37" t="s">
        <v>441</v>
      </c>
      <c r="AX19" s="37"/>
      <c r="AY19" s="37"/>
      <c r="AZ19" s="37" t="s">
        <v>442</v>
      </c>
      <c r="BA19" s="37"/>
      <c r="BB19" s="37"/>
      <c r="BC19" s="37" t="s">
        <v>443</v>
      </c>
      <c r="BD19" s="37"/>
      <c r="BE19" s="37"/>
      <c r="BF19" s="37" t="s">
        <v>444</v>
      </c>
      <c r="BG19" s="37"/>
      <c r="BH19" s="37"/>
      <c r="BI19" s="37" t="s">
        <v>445</v>
      </c>
      <c r="BJ19" s="37"/>
      <c r="BK19" s="37"/>
      <c r="BL19" s="37" t="s">
        <v>446</v>
      </c>
      <c r="BM19" s="37"/>
      <c r="BN19" s="37"/>
      <c r="BO19" s="37" t="s">
        <v>447</v>
      </c>
      <c r="BP19" s="37"/>
      <c r="BQ19" s="37"/>
      <c r="BR19" s="37" t="s">
        <v>448</v>
      </c>
      <c r="BS19" s="37"/>
      <c r="BT19" s="37"/>
      <c r="BU19" s="37" t="s">
        <v>449</v>
      </c>
      <c r="BV19" s="37"/>
      <c r="BW19" s="37"/>
      <c r="BX19" s="37" t="s">
        <v>450</v>
      </c>
      <c r="BY19" s="37"/>
      <c r="BZ19" s="37"/>
      <c r="CA19" s="37" t="s">
        <v>451</v>
      </c>
      <c r="CB19" s="37"/>
      <c r="CC19" s="37"/>
      <c r="CD19" s="40" t="s">
        <v>561</v>
      </c>
      <c r="CE19" s="40"/>
      <c r="CF19" s="40"/>
      <c r="CG19" s="42"/>
      <c r="CH19" s="42"/>
      <c r="CI19" s="42"/>
      <c r="CK19" s="42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46" t="s">
        <v>503</v>
      </c>
      <c r="DB19" s="46"/>
      <c r="DC19" s="46"/>
      <c r="DD19" s="46" t="s">
        <v>504</v>
      </c>
      <c r="DE19" s="46"/>
      <c r="DF19" s="46"/>
      <c r="DG19" s="46" t="s">
        <v>505</v>
      </c>
      <c r="DH19" s="46"/>
      <c r="DI19" s="46"/>
      <c r="DJ19" s="46" t="s">
        <v>506</v>
      </c>
      <c r="DK19" s="46"/>
      <c r="DL19" s="46"/>
      <c r="DM19" s="46" t="s">
        <v>507</v>
      </c>
      <c r="DN19" s="46"/>
      <c r="DO19" s="46"/>
      <c r="DP19" s="46" t="s">
        <v>508</v>
      </c>
      <c r="DQ19" s="46"/>
      <c r="DR19" s="46"/>
      <c r="DS19" s="46" t="s">
        <v>463</v>
      </c>
      <c r="DT19" s="46"/>
      <c r="DU19" s="46"/>
      <c r="DV19" s="46" t="s">
        <v>502</v>
      </c>
      <c r="DW19" s="46"/>
      <c r="DX19" s="46"/>
      <c r="DY19" s="42"/>
      <c r="DZ19" s="42"/>
      <c r="EA19" s="42"/>
    </row>
    <row r="20" customFormat="false" ht="25.5" hidden="false" customHeight="true" outlineLevel="0" collapsed="false">
      <c r="A20" s="56"/>
      <c r="B20" s="56"/>
      <c r="C20" s="57" t="s">
        <v>562</v>
      </c>
      <c r="D20" s="57"/>
      <c r="E20" s="57"/>
      <c r="F20" s="56"/>
      <c r="G20" s="56"/>
      <c r="H20" s="56"/>
      <c r="I20" s="58" t="s">
        <v>503</v>
      </c>
      <c r="J20" s="58"/>
      <c r="K20" s="58"/>
      <c r="L20" s="48" t="s">
        <v>521</v>
      </c>
      <c r="M20" s="48"/>
      <c r="N20" s="48"/>
      <c r="O20" s="42"/>
      <c r="P20" s="42"/>
      <c r="Q20" s="42"/>
      <c r="R20" s="40" t="s">
        <v>563</v>
      </c>
      <c r="S20" s="40"/>
      <c r="T20" s="40"/>
      <c r="U20" s="40" t="s">
        <v>465</v>
      </c>
      <c r="V20" s="40"/>
      <c r="W20" s="40"/>
      <c r="X20" s="34" t="s">
        <v>487</v>
      </c>
      <c r="Y20" s="34"/>
      <c r="Z20" s="34"/>
      <c r="AA20" s="40" t="s">
        <v>457</v>
      </c>
      <c r="AB20" s="40"/>
      <c r="AC20" s="40"/>
      <c r="AD20" s="40" t="s">
        <v>458</v>
      </c>
      <c r="AE20" s="40"/>
      <c r="AF20" s="40"/>
      <c r="AG20" s="59" t="s">
        <v>564</v>
      </c>
      <c r="AH20" s="59"/>
      <c r="AI20" s="59"/>
      <c r="AJ20" s="59" t="s">
        <v>565</v>
      </c>
      <c r="AK20" s="59"/>
      <c r="AL20" s="59"/>
      <c r="AM20" s="58" t="s">
        <v>566</v>
      </c>
      <c r="AN20" s="58"/>
      <c r="AO20" s="58"/>
      <c r="AP20" s="58"/>
      <c r="AQ20" s="58"/>
      <c r="AS20" s="42"/>
      <c r="AT20" s="42"/>
      <c r="AU20" s="40" t="s">
        <v>520</v>
      </c>
      <c r="AV20" s="40"/>
      <c r="AW20" s="40"/>
      <c r="AX20" s="40" t="s">
        <v>477</v>
      </c>
      <c r="AY20" s="40"/>
      <c r="AZ20" s="40"/>
      <c r="BA20" s="37" t="s">
        <v>535</v>
      </c>
      <c r="BB20" s="37"/>
      <c r="BC20" s="37"/>
      <c r="BD20" s="37" t="s">
        <v>534</v>
      </c>
      <c r="BE20" s="37"/>
      <c r="BF20" s="37"/>
      <c r="BG20" s="37" t="s">
        <v>567</v>
      </c>
      <c r="BH20" s="37"/>
      <c r="BI20" s="37"/>
      <c r="BJ20" s="40" t="s">
        <v>563</v>
      </c>
      <c r="BK20" s="40"/>
      <c r="BL20" s="40"/>
      <c r="BM20" s="40" t="s">
        <v>465</v>
      </c>
      <c r="BN20" s="40"/>
      <c r="BO20" s="40"/>
      <c r="BP20" s="42" t="s">
        <v>487</v>
      </c>
      <c r="BQ20" s="42"/>
      <c r="BR20" s="42"/>
      <c r="BS20" s="40" t="s">
        <v>457</v>
      </c>
      <c r="BT20" s="40"/>
      <c r="BU20" s="40"/>
      <c r="BV20" s="40" t="s">
        <v>458</v>
      </c>
      <c r="BW20" s="40"/>
      <c r="BX20" s="40"/>
      <c r="BY20" s="59" t="s">
        <v>564</v>
      </c>
      <c r="BZ20" s="59"/>
      <c r="CA20" s="59"/>
      <c r="CB20" s="59" t="s">
        <v>565</v>
      </c>
      <c r="CC20" s="59"/>
      <c r="CD20" s="59"/>
      <c r="CE20" s="40" t="s">
        <v>566</v>
      </c>
      <c r="CF20" s="40"/>
      <c r="CG20" s="40"/>
      <c r="CH20" s="40"/>
      <c r="CI20" s="40"/>
      <c r="CK20" s="42"/>
      <c r="CL20" s="42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49" t="s">
        <v>465</v>
      </c>
      <c r="DC20" s="49"/>
      <c r="DD20" s="49"/>
      <c r="DE20" s="49" t="s">
        <v>523</v>
      </c>
      <c r="DF20" s="49"/>
      <c r="DG20" s="49"/>
      <c r="DH20" s="49" t="s">
        <v>524</v>
      </c>
      <c r="DI20" s="49"/>
      <c r="DJ20" s="49"/>
      <c r="DK20" s="49" t="s">
        <v>525</v>
      </c>
      <c r="DL20" s="49"/>
      <c r="DM20" s="49"/>
      <c r="DN20" s="46" t="s">
        <v>522</v>
      </c>
      <c r="DO20" s="46"/>
      <c r="DP20" s="46"/>
      <c r="DQ20" s="47" t="s">
        <v>487</v>
      </c>
      <c r="DR20" s="47"/>
      <c r="DS20" s="47"/>
      <c r="DT20" s="50"/>
      <c r="DU20" s="50"/>
      <c r="DV20" s="50"/>
      <c r="DW20" s="42"/>
      <c r="DX20" s="42"/>
      <c r="DY20" s="42"/>
      <c r="DZ20" s="42"/>
      <c r="EA20" s="42"/>
    </row>
    <row r="21" customFormat="false" ht="25.5" hidden="false" customHeight="true" outlineLevel="0" collapsed="false">
      <c r="A21" s="37"/>
      <c r="B21" s="37"/>
      <c r="C21" s="37"/>
      <c r="D21" s="60" t="s">
        <v>568</v>
      </c>
      <c r="E21" s="60"/>
      <c r="F21" s="60"/>
      <c r="G21" s="60" t="s">
        <v>569</v>
      </c>
      <c r="H21" s="60"/>
      <c r="I21" s="60"/>
      <c r="J21" s="59" t="s">
        <v>570</v>
      </c>
      <c r="K21" s="59"/>
      <c r="L21" s="59"/>
      <c r="M21" s="40" t="s">
        <v>466</v>
      </c>
      <c r="N21" s="40"/>
      <c r="O21" s="40"/>
      <c r="P21" s="40" t="s">
        <v>571</v>
      </c>
      <c r="Q21" s="40"/>
      <c r="R21" s="40"/>
      <c r="S21" s="58" t="s">
        <v>459</v>
      </c>
      <c r="T21" s="58"/>
      <c r="U21" s="58"/>
      <c r="V21" s="61" t="s">
        <v>402</v>
      </c>
      <c r="W21" s="61"/>
      <c r="X21" s="61"/>
      <c r="Y21" s="34" t="s">
        <v>488</v>
      </c>
      <c r="Z21" s="34"/>
      <c r="AA21" s="34"/>
      <c r="AB21" s="34" t="s">
        <v>400</v>
      </c>
      <c r="AC21" s="34"/>
      <c r="AD21" s="34"/>
      <c r="AE21" s="40" t="s">
        <v>469</v>
      </c>
      <c r="AF21" s="40"/>
      <c r="AG21" s="40"/>
      <c r="AH21" s="59"/>
      <c r="AI21" s="59"/>
      <c r="AJ21" s="59"/>
      <c r="AK21" s="40" t="s">
        <v>572</v>
      </c>
      <c r="AL21" s="40"/>
      <c r="AM21" s="40"/>
      <c r="AN21" s="39"/>
      <c r="AO21" s="39"/>
      <c r="AP21" s="39"/>
      <c r="AQ21" s="39"/>
      <c r="AS21" s="37"/>
      <c r="AT21" s="37"/>
      <c r="AU21" s="37"/>
      <c r="AV21" s="60" t="s">
        <v>498</v>
      </c>
      <c r="AW21" s="60"/>
      <c r="AX21" s="60"/>
      <c r="AY21" s="40" t="s">
        <v>499</v>
      </c>
      <c r="AZ21" s="40"/>
      <c r="BA21" s="40"/>
      <c r="BB21" s="37" t="s">
        <v>537</v>
      </c>
      <c r="BC21" s="37"/>
      <c r="BD21" s="37"/>
      <c r="BE21" s="38" t="s">
        <v>462</v>
      </c>
      <c r="BF21" s="38"/>
      <c r="BG21" s="38"/>
      <c r="BH21" s="62" t="s">
        <v>500</v>
      </c>
      <c r="BI21" s="62"/>
      <c r="BJ21" s="62"/>
      <c r="BK21" s="40" t="s">
        <v>459</v>
      </c>
      <c r="BL21" s="40"/>
      <c r="BM21" s="40"/>
      <c r="BN21" s="61" t="s">
        <v>402</v>
      </c>
      <c r="BO21" s="61"/>
      <c r="BP21" s="61"/>
      <c r="BQ21" s="63" t="s">
        <v>488</v>
      </c>
      <c r="BR21" s="63"/>
      <c r="BS21" s="63"/>
      <c r="BT21" s="63" t="s">
        <v>400</v>
      </c>
      <c r="BU21" s="63"/>
      <c r="BV21" s="63"/>
      <c r="BW21" s="40" t="s">
        <v>469</v>
      </c>
      <c r="BX21" s="40"/>
      <c r="BY21" s="40"/>
      <c r="BZ21" s="59"/>
      <c r="CA21" s="59"/>
      <c r="CB21" s="59"/>
      <c r="CC21" s="40" t="s">
        <v>572</v>
      </c>
      <c r="CD21" s="40"/>
      <c r="CE21" s="40"/>
      <c r="CF21" s="64"/>
      <c r="CG21" s="64"/>
      <c r="CH21" s="64"/>
      <c r="CI21" s="64"/>
      <c r="CK21" s="40"/>
      <c r="CL21" s="40"/>
      <c r="CM21" s="40"/>
      <c r="CN21" s="34"/>
      <c r="CO21" s="34"/>
      <c r="CP21" s="34"/>
      <c r="CQ21" s="34"/>
      <c r="CR21" s="34"/>
      <c r="CS21" s="34"/>
      <c r="CT21" s="34"/>
      <c r="CU21" s="34"/>
      <c r="CV21" s="34"/>
      <c r="CW21" s="61"/>
      <c r="CX21" s="61"/>
      <c r="CY21" s="61"/>
      <c r="CZ21" s="34"/>
      <c r="DA21" s="34"/>
      <c r="DB21" s="34"/>
      <c r="DC21" s="46" t="s">
        <v>500</v>
      </c>
      <c r="DD21" s="46"/>
      <c r="DE21" s="46"/>
      <c r="DF21" s="51" t="s">
        <v>538</v>
      </c>
      <c r="DG21" s="51"/>
      <c r="DH21" s="51"/>
      <c r="DI21" s="46" t="s">
        <v>539</v>
      </c>
      <c r="DJ21" s="46"/>
      <c r="DK21" s="46"/>
      <c r="DL21" s="46" t="s">
        <v>540</v>
      </c>
      <c r="DM21" s="46"/>
      <c r="DN21" s="46"/>
      <c r="DO21" s="47" t="s">
        <v>402</v>
      </c>
      <c r="DP21" s="47"/>
      <c r="DQ21" s="47"/>
      <c r="DR21" s="47" t="s">
        <v>488</v>
      </c>
      <c r="DS21" s="47"/>
      <c r="DT21" s="47"/>
      <c r="DU21" s="47" t="s">
        <v>400</v>
      </c>
      <c r="DV21" s="47"/>
      <c r="DW21" s="47"/>
      <c r="DX21" s="53"/>
      <c r="DY21" s="53"/>
      <c r="DZ21" s="53"/>
      <c r="EA21" s="53"/>
    </row>
    <row r="22" customFormat="false" ht="25.5" hidden="false" customHeight="true" outlineLevel="0" collapsed="false">
      <c r="A22" s="37"/>
      <c r="B22" s="37"/>
      <c r="C22" s="37"/>
      <c r="D22" s="37"/>
      <c r="E22" s="40" t="s">
        <v>550</v>
      </c>
      <c r="F22" s="40"/>
      <c r="G22" s="40"/>
      <c r="H22" s="40" t="s">
        <v>551</v>
      </c>
      <c r="I22" s="40"/>
      <c r="J22" s="40"/>
      <c r="K22" s="40" t="s">
        <v>552</v>
      </c>
      <c r="L22" s="40"/>
      <c r="M22" s="40"/>
      <c r="N22" s="40" t="s">
        <v>553</v>
      </c>
      <c r="O22" s="40"/>
      <c r="P22" s="40"/>
      <c r="Q22" s="40" t="s">
        <v>550</v>
      </c>
      <c r="R22" s="40"/>
      <c r="S22" s="40"/>
      <c r="T22" s="40" t="s">
        <v>460</v>
      </c>
      <c r="U22" s="40"/>
      <c r="V22" s="40"/>
      <c r="W22" s="40" t="s">
        <v>456</v>
      </c>
      <c r="X22" s="40"/>
      <c r="Y22" s="40"/>
      <c r="Z22" s="40" t="s">
        <v>573</v>
      </c>
      <c r="AA22" s="40"/>
      <c r="AB22" s="40"/>
      <c r="AC22" s="40" t="s">
        <v>574</v>
      </c>
      <c r="AD22" s="40"/>
      <c r="AE22" s="40"/>
      <c r="AF22" s="48" t="s">
        <v>561</v>
      </c>
      <c r="AG22" s="48"/>
      <c r="AH22" s="48"/>
      <c r="AI22" s="59"/>
      <c r="AJ22" s="59"/>
      <c r="AK22" s="59"/>
      <c r="AL22" s="29"/>
      <c r="AM22" s="29"/>
      <c r="AN22" s="29"/>
      <c r="AO22" s="29"/>
      <c r="AP22" s="29"/>
      <c r="AQ22" s="29"/>
      <c r="AS22" s="37"/>
      <c r="AT22" s="37"/>
      <c r="AU22" s="37"/>
      <c r="AV22" s="37"/>
      <c r="AW22" s="40" t="s">
        <v>550</v>
      </c>
      <c r="AX22" s="40"/>
      <c r="AY22" s="40"/>
      <c r="AZ22" s="40" t="s">
        <v>551</v>
      </c>
      <c r="BA22" s="40"/>
      <c r="BB22" s="40"/>
      <c r="BC22" s="40" t="s">
        <v>552</v>
      </c>
      <c r="BD22" s="40"/>
      <c r="BE22" s="40"/>
      <c r="BF22" s="40" t="s">
        <v>553</v>
      </c>
      <c r="BG22" s="40"/>
      <c r="BH22" s="40"/>
      <c r="BI22" s="40" t="s">
        <v>550</v>
      </c>
      <c r="BJ22" s="40"/>
      <c r="BK22" s="40"/>
      <c r="BL22" s="40" t="s">
        <v>460</v>
      </c>
      <c r="BM22" s="40"/>
      <c r="BN22" s="40"/>
      <c r="BO22" s="40" t="s">
        <v>456</v>
      </c>
      <c r="BP22" s="40"/>
      <c r="BQ22" s="40"/>
      <c r="BR22" s="40" t="s">
        <v>573</v>
      </c>
      <c r="BS22" s="40"/>
      <c r="BT22" s="40"/>
      <c r="BU22" s="40" t="s">
        <v>574</v>
      </c>
      <c r="BV22" s="40"/>
      <c r="BW22" s="40"/>
      <c r="BX22" s="40" t="s">
        <v>561</v>
      </c>
      <c r="BY22" s="40"/>
      <c r="BZ22" s="40"/>
      <c r="CA22" s="40"/>
      <c r="CB22" s="40"/>
      <c r="CC22" s="40"/>
      <c r="CD22" s="37"/>
      <c r="CE22" s="37"/>
      <c r="CF22" s="37"/>
      <c r="CG22" s="37"/>
      <c r="CH22" s="37"/>
      <c r="CI22" s="37"/>
      <c r="CK22" s="42"/>
      <c r="CL22" s="42"/>
      <c r="CM22" s="42"/>
      <c r="CN22" s="42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49" t="s">
        <v>456</v>
      </c>
      <c r="DE22" s="49"/>
      <c r="DF22" s="49"/>
      <c r="DG22" s="49" t="s">
        <v>554</v>
      </c>
      <c r="DH22" s="49"/>
      <c r="DI22" s="49"/>
      <c r="DJ22" s="49" t="s">
        <v>475</v>
      </c>
      <c r="DK22" s="49"/>
      <c r="DL22" s="49"/>
      <c r="DM22" s="49" t="s">
        <v>555</v>
      </c>
      <c r="DN22" s="49"/>
      <c r="DO22" s="49"/>
      <c r="DP22" s="49" t="s">
        <v>556</v>
      </c>
      <c r="DQ22" s="49"/>
      <c r="DR22" s="49"/>
      <c r="DS22" s="49" t="s">
        <v>464</v>
      </c>
      <c r="DT22" s="49"/>
      <c r="DU22" s="49"/>
      <c r="DV22" s="42"/>
      <c r="DW22" s="42"/>
      <c r="DX22" s="42"/>
      <c r="DY22" s="42"/>
      <c r="DZ22" s="42"/>
      <c r="EA22" s="42"/>
    </row>
    <row r="23" customFormat="false" ht="12.8" hidden="false" customHeight="false" outlineLevel="0" collapsed="false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63"/>
      <c r="L23" s="63"/>
      <c r="M23" s="63"/>
      <c r="N23" s="63" t="s">
        <v>575</v>
      </c>
      <c r="O23" s="63"/>
      <c r="P23" s="63" t="s">
        <v>484</v>
      </c>
      <c r="Q23" s="63"/>
      <c r="R23" s="63"/>
      <c r="S23" s="63"/>
      <c r="T23" s="63"/>
      <c r="U23" s="63"/>
      <c r="V23" s="63" t="s">
        <v>485</v>
      </c>
      <c r="W23" s="47" t="s">
        <v>461</v>
      </c>
      <c r="X23" s="47"/>
      <c r="Y23" s="47"/>
      <c r="Z23" s="63"/>
      <c r="AA23" s="63"/>
      <c r="AB23" s="63"/>
      <c r="AC23" s="42"/>
      <c r="AD23" s="42"/>
      <c r="AE23" s="42"/>
      <c r="AF23" s="37"/>
      <c r="AG23" s="37"/>
      <c r="AH23" s="37"/>
      <c r="AI23" s="44"/>
      <c r="AJ23" s="44"/>
      <c r="AK23" s="44"/>
      <c r="AL23" s="34"/>
      <c r="AM23" s="34"/>
      <c r="AN23" s="34"/>
      <c r="AO23" s="44"/>
      <c r="AP23" s="44"/>
      <c r="AQ23" s="44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42"/>
      <c r="BD23" s="42"/>
      <c r="BE23" s="42"/>
      <c r="BF23" s="42"/>
      <c r="BG23" s="42"/>
      <c r="BH23" s="42" t="s">
        <v>484</v>
      </c>
      <c r="BI23" s="42"/>
      <c r="BJ23" s="42"/>
      <c r="BK23" s="42"/>
      <c r="BL23" s="42"/>
      <c r="BM23" s="42"/>
      <c r="BN23" s="42" t="s">
        <v>485</v>
      </c>
      <c r="BO23" s="42"/>
      <c r="BP23" s="42"/>
      <c r="BQ23" s="42"/>
      <c r="BR23" s="42"/>
      <c r="BS23" s="42"/>
      <c r="BT23" s="42"/>
      <c r="BU23" s="42"/>
      <c r="BV23" s="42"/>
      <c r="BW23" s="42"/>
      <c r="BX23" s="37"/>
      <c r="BY23" s="37"/>
      <c r="BZ23" s="37"/>
      <c r="CA23" s="44"/>
      <c r="CB23" s="44"/>
      <c r="CC23" s="44"/>
      <c r="CD23" s="34"/>
      <c r="CE23" s="34"/>
      <c r="CF23" s="34"/>
      <c r="CG23" s="44"/>
      <c r="CH23" s="44"/>
      <c r="CI23" s="44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65" t="s">
        <v>575</v>
      </c>
      <c r="CY23" s="65"/>
      <c r="CZ23" s="65"/>
      <c r="DA23" s="65"/>
      <c r="DB23" s="65"/>
      <c r="DC23" s="65"/>
      <c r="DD23" s="65"/>
      <c r="DE23" s="65"/>
      <c r="DF23" s="65"/>
      <c r="DG23" s="48" t="s">
        <v>469</v>
      </c>
      <c r="DH23" s="48"/>
      <c r="DI23" s="48"/>
      <c r="DJ23" s="37"/>
      <c r="DK23" s="37"/>
      <c r="DL23" s="37"/>
      <c r="DM23" s="37"/>
      <c r="DN23" s="37"/>
      <c r="DO23" s="37"/>
      <c r="DP23" s="37"/>
      <c r="DQ23" s="37"/>
      <c r="DR23" s="37"/>
      <c r="DS23" s="44"/>
      <c r="DT23" s="44"/>
      <c r="DU23" s="44"/>
      <c r="DV23" s="34"/>
      <c r="DW23" s="34"/>
      <c r="DX23" s="34"/>
      <c r="DY23" s="44"/>
      <c r="DZ23" s="44"/>
      <c r="EA23" s="44"/>
    </row>
    <row r="24" customFormat="false" ht="12.8" hidden="false" customHeight="fals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47"/>
      <c r="X24" s="47"/>
      <c r="Y24" s="47"/>
      <c r="Z24" s="63"/>
      <c r="AA24" s="63"/>
      <c r="AB24" s="63"/>
      <c r="AC24" s="42"/>
      <c r="AD24" s="42"/>
      <c r="AE24" s="42"/>
      <c r="AF24" s="37"/>
      <c r="AG24" s="37"/>
      <c r="AH24" s="37"/>
      <c r="AI24" s="34"/>
      <c r="AJ24" s="34"/>
      <c r="AK24" s="34"/>
      <c r="AL24" s="34"/>
      <c r="AM24" s="34"/>
      <c r="AN24" s="34"/>
      <c r="AO24" s="34"/>
      <c r="AP24" s="34"/>
      <c r="AQ24" s="34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  <c r="BO24" s="42"/>
      <c r="BP24" s="42"/>
      <c r="BQ24" s="42"/>
      <c r="BR24" s="42"/>
      <c r="BS24" s="42"/>
      <c r="BT24" s="42"/>
      <c r="BU24" s="42"/>
      <c r="BV24" s="42"/>
      <c r="BW24" s="42"/>
      <c r="BX24" s="37"/>
      <c r="BY24" s="37"/>
      <c r="BZ24" s="37"/>
      <c r="CA24" s="34"/>
      <c r="CB24" s="34"/>
      <c r="CC24" s="34"/>
      <c r="CD24" s="34"/>
      <c r="CE24" s="34"/>
      <c r="CF24" s="34"/>
      <c r="CG24" s="34"/>
      <c r="CH24" s="34"/>
      <c r="CI24" s="34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65"/>
      <c r="CY24" s="65"/>
      <c r="CZ24" s="65"/>
      <c r="DA24" s="65"/>
      <c r="DB24" s="65"/>
      <c r="DC24" s="65"/>
      <c r="DD24" s="65"/>
      <c r="DE24" s="65"/>
      <c r="DF24" s="65"/>
      <c r="DG24" s="48"/>
      <c r="DH24" s="48"/>
      <c r="DI24" s="48"/>
      <c r="DJ24" s="37"/>
      <c r="DK24" s="37"/>
      <c r="DL24" s="37"/>
      <c r="DM24" s="37"/>
      <c r="DN24" s="37"/>
      <c r="DO24" s="37"/>
      <c r="DP24" s="37"/>
      <c r="DQ24" s="37"/>
      <c r="DR24" s="37"/>
      <c r="DS24" s="34"/>
      <c r="DT24" s="34"/>
      <c r="DU24" s="34"/>
      <c r="DV24" s="34"/>
      <c r="DW24" s="34"/>
      <c r="DX24" s="34"/>
      <c r="DY24" s="34"/>
      <c r="DZ24" s="34"/>
      <c r="EA24" s="34"/>
    </row>
    <row r="25" customFormat="false" ht="12.8" hidden="false" customHeight="false" outlineLevel="0" collapsed="false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</row>
    <row r="26" customFormat="false" ht="12.8" hidden="false" customHeight="false" outlineLevel="0" collapsed="false">
      <c r="A26" s="54" t="s">
        <v>576</v>
      </c>
      <c r="B26" s="27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AS26" s="66" t="s">
        <v>577</v>
      </c>
      <c r="AT26" s="6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7"/>
      <c r="CK26" s="66" t="s">
        <v>578</v>
      </c>
    </row>
    <row r="27" customFormat="false" ht="25.5" hidden="false" customHeight="true" outlineLevel="0" collapsed="false">
      <c r="A27" s="42"/>
      <c r="B27" s="48" t="s">
        <v>491</v>
      </c>
      <c r="C27" s="48"/>
      <c r="D27" s="48"/>
      <c r="E27" s="40"/>
      <c r="F27" s="40"/>
      <c r="G27" s="40"/>
      <c r="H27" s="48" t="s">
        <v>493</v>
      </c>
      <c r="I27" s="48"/>
      <c r="J27" s="48"/>
      <c r="K27" s="48" t="s">
        <v>494</v>
      </c>
      <c r="L27" s="48"/>
      <c r="M27" s="48"/>
      <c r="N27" s="67" t="s">
        <v>495</v>
      </c>
      <c r="O27" s="67"/>
      <c r="P27" s="67"/>
      <c r="Q27" s="48" t="s">
        <v>503</v>
      </c>
      <c r="R27" s="48"/>
      <c r="S27" s="48"/>
      <c r="T27" s="48" t="n">
        <v>7</v>
      </c>
      <c r="U27" s="48"/>
      <c r="V27" s="48"/>
      <c r="W27" s="48" t="n">
        <v>8</v>
      </c>
      <c r="X27" s="48"/>
      <c r="Y27" s="48"/>
      <c r="Z27" s="48" t="n">
        <v>9</v>
      </c>
      <c r="AA27" s="48"/>
      <c r="AB27" s="48"/>
      <c r="AC27" s="48" t="n">
        <v>0</v>
      </c>
      <c r="AD27" s="48"/>
      <c r="AE27" s="48"/>
      <c r="AF27" s="48" t="s">
        <v>462</v>
      </c>
      <c r="AG27" s="48"/>
      <c r="AH27" s="48"/>
      <c r="AI27" s="48" t="s">
        <v>463</v>
      </c>
      <c r="AJ27" s="48"/>
      <c r="AK27" s="48"/>
      <c r="AL27" s="48" t="s">
        <v>502</v>
      </c>
      <c r="AM27" s="48"/>
      <c r="AN27" s="48"/>
      <c r="AO27" s="40"/>
      <c r="AP27" s="40"/>
      <c r="AQ27" s="40"/>
      <c r="AS27" s="42"/>
      <c r="AT27" s="40"/>
      <c r="AU27" s="40"/>
      <c r="AV27" s="40"/>
      <c r="AW27" s="40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  <c r="BJ27" s="40"/>
      <c r="BK27" s="40"/>
      <c r="BL27" s="40"/>
      <c r="BM27" s="40"/>
      <c r="BN27" s="40"/>
      <c r="BO27" s="40"/>
      <c r="BP27" s="40"/>
      <c r="BQ27" s="40"/>
      <c r="BR27" s="40"/>
      <c r="BS27" s="40"/>
      <c r="BT27" s="40"/>
      <c r="BU27" s="40"/>
      <c r="BV27" s="40"/>
      <c r="BW27" s="40"/>
      <c r="BX27" s="40"/>
      <c r="BY27" s="40"/>
      <c r="BZ27" s="40"/>
      <c r="CA27" s="40"/>
      <c r="CB27" s="40"/>
      <c r="CC27" s="40"/>
      <c r="CD27" s="40"/>
      <c r="CE27" s="40"/>
      <c r="CF27" s="40"/>
      <c r="CG27" s="40"/>
      <c r="CH27" s="40"/>
      <c r="CI27" s="40"/>
      <c r="CK27" s="56"/>
      <c r="CL27" s="58"/>
      <c r="CM27" s="58"/>
      <c r="CN27" s="58"/>
      <c r="CO27" s="58"/>
      <c r="CP27" s="58"/>
      <c r="CQ27" s="58"/>
      <c r="CR27" s="58"/>
      <c r="CS27" s="58"/>
      <c r="CT27" s="58"/>
      <c r="CU27" s="58"/>
      <c r="CV27" s="58"/>
      <c r="CW27" s="58"/>
      <c r="CX27" s="58"/>
      <c r="CY27" s="58"/>
      <c r="CZ27" s="58"/>
      <c r="DA27" s="58"/>
      <c r="DB27" s="58"/>
      <c r="DC27" s="58"/>
      <c r="DD27" s="58"/>
      <c r="DE27" s="58"/>
      <c r="DF27" s="58"/>
      <c r="DG27" s="58"/>
      <c r="DH27" s="58"/>
      <c r="DI27" s="58"/>
      <c r="DJ27" s="58"/>
      <c r="DK27" s="58"/>
      <c r="DL27" s="58"/>
      <c r="DM27" s="58"/>
      <c r="DN27" s="58"/>
      <c r="DO27" s="58"/>
      <c r="DP27" s="58"/>
      <c r="DQ27" s="58"/>
      <c r="DR27" s="58"/>
      <c r="DS27" s="58"/>
      <c r="DT27" s="58"/>
      <c r="DU27" s="58"/>
      <c r="DV27" s="58"/>
      <c r="DW27" s="58"/>
      <c r="DX27" s="58"/>
      <c r="DY27" s="58"/>
      <c r="DZ27" s="58"/>
      <c r="EA27" s="58"/>
    </row>
    <row r="28" customFormat="false" ht="25.5" hidden="false" customHeight="true" outlineLevel="0" collapsed="false">
      <c r="A28" s="42"/>
      <c r="B28" s="42"/>
      <c r="C28" s="68" t="s">
        <v>579</v>
      </c>
      <c r="D28" s="68"/>
      <c r="E28" s="68"/>
      <c r="F28" s="69" t="s">
        <v>580</v>
      </c>
      <c r="G28" s="69"/>
      <c r="H28" s="69"/>
      <c r="I28" s="70" t="s">
        <v>581</v>
      </c>
      <c r="J28" s="70"/>
      <c r="K28" s="70"/>
      <c r="L28" s="69" t="s">
        <v>582</v>
      </c>
      <c r="M28" s="69"/>
      <c r="N28" s="69"/>
      <c r="O28" s="70" t="s">
        <v>583</v>
      </c>
      <c r="P28" s="70"/>
      <c r="Q28" s="70"/>
      <c r="R28" s="48"/>
      <c r="S28" s="48"/>
      <c r="T28" s="48"/>
      <c r="U28" s="48" t="n">
        <v>4</v>
      </c>
      <c r="V28" s="48"/>
      <c r="W28" s="48"/>
      <c r="X28" s="48" t="n">
        <v>5</v>
      </c>
      <c r="Y28" s="48"/>
      <c r="Z28" s="48"/>
      <c r="AA28" s="48" t="n">
        <v>6</v>
      </c>
      <c r="AB28" s="48"/>
      <c r="AC28" s="48"/>
      <c r="AD28" s="48" t="s">
        <v>584</v>
      </c>
      <c r="AE28" s="48"/>
      <c r="AF28" s="48"/>
      <c r="AG28" s="48" t="s">
        <v>534</v>
      </c>
      <c r="AH28" s="48"/>
      <c r="AI28" s="48"/>
      <c r="AJ28" s="48" t="s">
        <v>498</v>
      </c>
      <c r="AK28" s="48"/>
      <c r="AL28" s="48"/>
      <c r="AM28" s="42"/>
      <c r="AN28" s="42"/>
      <c r="AO28" s="42"/>
      <c r="AP28" s="42"/>
      <c r="AQ28" s="42"/>
      <c r="AS28" s="42"/>
      <c r="AT28" s="42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  <c r="BJ28" s="60" t="s">
        <v>585</v>
      </c>
      <c r="BK28" s="60"/>
      <c r="BL28" s="60"/>
      <c r="BM28" s="60" t="s">
        <v>586</v>
      </c>
      <c r="BN28" s="60"/>
      <c r="BO28" s="60"/>
      <c r="BP28" s="42" t="s">
        <v>487</v>
      </c>
      <c r="BQ28" s="42"/>
      <c r="BR28" s="42"/>
      <c r="BS28" s="60" t="s">
        <v>587</v>
      </c>
      <c r="BT28" s="60"/>
      <c r="BU28" s="60"/>
      <c r="BV28" s="40"/>
      <c r="BW28" s="40"/>
      <c r="BX28" s="40"/>
      <c r="BY28" s="40"/>
      <c r="BZ28" s="40"/>
      <c r="CA28" s="40"/>
      <c r="CB28" s="40"/>
      <c r="CC28" s="40"/>
      <c r="CD28" s="40"/>
      <c r="CE28" s="42"/>
      <c r="CF28" s="42"/>
      <c r="CG28" s="42"/>
      <c r="CH28" s="42"/>
      <c r="CI28" s="42"/>
      <c r="CK28" s="42"/>
      <c r="CL28" s="42"/>
      <c r="CM28" s="58"/>
      <c r="CN28" s="58"/>
      <c r="CO28" s="58"/>
      <c r="CP28" s="58"/>
      <c r="CQ28" s="58"/>
      <c r="CR28" s="58"/>
      <c r="CS28" s="58"/>
      <c r="CT28" s="58"/>
      <c r="CU28" s="58"/>
      <c r="CV28" s="58"/>
      <c r="CW28" s="58"/>
      <c r="CX28" s="58"/>
      <c r="CY28" s="58"/>
      <c r="CZ28" s="58"/>
      <c r="DA28" s="58"/>
      <c r="DB28" s="48" t="s">
        <v>563</v>
      </c>
      <c r="DC28" s="48"/>
      <c r="DD28" s="48"/>
      <c r="DE28" s="46" t="s">
        <v>465</v>
      </c>
      <c r="DF28" s="46"/>
      <c r="DG28" s="46"/>
      <c r="DH28" s="48" t="s">
        <v>588</v>
      </c>
      <c r="DI28" s="48"/>
      <c r="DJ28" s="48"/>
      <c r="DK28" s="48" t="s">
        <v>589</v>
      </c>
      <c r="DL28" s="48"/>
      <c r="DM28" s="48"/>
      <c r="DN28" s="48" t="s">
        <v>590</v>
      </c>
      <c r="DO28" s="48"/>
      <c r="DP28" s="48"/>
      <c r="DQ28" s="68" t="s">
        <v>591</v>
      </c>
      <c r="DR28" s="68"/>
      <c r="DS28" s="68"/>
      <c r="DT28" s="68" t="s">
        <v>592</v>
      </c>
      <c r="DU28" s="68"/>
      <c r="DV28" s="68"/>
      <c r="DW28" s="58"/>
      <c r="DX28" s="58"/>
      <c r="DY28" s="58"/>
      <c r="DZ28" s="58"/>
      <c r="EA28" s="58"/>
    </row>
    <row r="29" customFormat="false" ht="25.5" hidden="false" customHeight="true" outlineLevel="0" collapsed="false">
      <c r="A29" s="40"/>
      <c r="B29" s="40"/>
      <c r="C29" s="40"/>
      <c r="D29" s="70" t="s">
        <v>593</v>
      </c>
      <c r="E29" s="70"/>
      <c r="F29" s="70"/>
      <c r="G29" s="70" t="s">
        <v>594</v>
      </c>
      <c r="H29" s="70"/>
      <c r="I29" s="70"/>
      <c r="J29" s="67" t="s">
        <v>595</v>
      </c>
      <c r="K29" s="67"/>
      <c r="L29" s="67"/>
      <c r="M29" s="71" t="s">
        <v>596</v>
      </c>
      <c r="N29" s="71"/>
      <c r="O29" s="71"/>
      <c r="P29" s="69" t="s">
        <v>597</v>
      </c>
      <c r="Q29" s="69"/>
      <c r="R29" s="69"/>
      <c r="S29" s="48" t="s">
        <v>500</v>
      </c>
      <c r="T29" s="48"/>
      <c r="U29" s="48"/>
      <c r="V29" s="72" t="n">
        <v>1</v>
      </c>
      <c r="W29" s="72"/>
      <c r="X29" s="72"/>
      <c r="Y29" s="48" t="n">
        <v>2</v>
      </c>
      <c r="Z29" s="48"/>
      <c r="AA29" s="48"/>
      <c r="AB29" s="48" t="n">
        <v>3</v>
      </c>
      <c r="AC29" s="48"/>
      <c r="AD29" s="48"/>
      <c r="AE29" s="48" t="s">
        <v>469</v>
      </c>
      <c r="AF29" s="48"/>
      <c r="AG29" s="48"/>
      <c r="AH29" s="48" t="s">
        <v>535</v>
      </c>
      <c r="AI29" s="48"/>
      <c r="AJ29" s="48"/>
      <c r="AK29" s="48" t="s">
        <v>499</v>
      </c>
      <c r="AL29" s="48"/>
      <c r="AM29" s="48"/>
      <c r="AN29" s="53"/>
      <c r="AO29" s="53"/>
      <c r="AP29" s="53"/>
      <c r="AQ29" s="53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73"/>
      <c r="BF29" s="73"/>
      <c r="BG29" s="73"/>
      <c r="BH29" s="40"/>
      <c r="BI29" s="40"/>
      <c r="BJ29" s="40"/>
      <c r="BK29" s="60" t="s">
        <v>598</v>
      </c>
      <c r="BL29" s="60"/>
      <c r="BM29" s="60"/>
      <c r="BN29" s="73" t="s">
        <v>402</v>
      </c>
      <c r="BO29" s="73"/>
      <c r="BP29" s="73"/>
      <c r="BQ29" s="42" t="s">
        <v>488</v>
      </c>
      <c r="BR29" s="42"/>
      <c r="BS29" s="42"/>
      <c r="BT29" s="42" t="s">
        <v>400</v>
      </c>
      <c r="BU29" s="42"/>
      <c r="BV29" s="42"/>
      <c r="BW29" s="40"/>
      <c r="BX29" s="40"/>
      <c r="BY29" s="40"/>
      <c r="BZ29" s="40"/>
      <c r="CA29" s="40"/>
      <c r="CB29" s="40"/>
      <c r="CC29" s="40"/>
      <c r="CD29" s="40"/>
      <c r="CE29" s="40"/>
      <c r="CF29" s="53"/>
      <c r="CG29" s="53"/>
      <c r="CH29" s="53"/>
      <c r="CI29" s="53"/>
      <c r="CK29" s="63"/>
      <c r="CL29" s="63"/>
      <c r="CM29" s="63"/>
      <c r="CN29" s="58"/>
      <c r="CO29" s="58"/>
      <c r="CP29" s="58"/>
      <c r="CQ29" s="58"/>
      <c r="CR29" s="58"/>
      <c r="CS29" s="58"/>
      <c r="CT29" s="58"/>
      <c r="CU29" s="58"/>
      <c r="CV29" s="58"/>
      <c r="CW29" s="73"/>
      <c r="CX29" s="73"/>
      <c r="CY29" s="73"/>
      <c r="CZ29" s="58"/>
      <c r="DA29" s="58"/>
      <c r="DB29" s="58"/>
      <c r="DC29" s="68" t="s">
        <v>599</v>
      </c>
      <c r="DD29" s="68"/>
      <c r="DE29" s="68"/>
      <c r="DF29" s="72" t="s">
        <v>600</v>
      </c>
      <c r="DG29" s="72"/>
      <c r="DH29" s="72"/>
      <c r="DI29" s="48" t="s">
        <v>601</v>
      </c>
      <c r="DJ29" s="48"/>
      <c r="DK29" s="48"/>
      <c r="DL29" s="48" t="s">
        <v>602</v>
      </c>
      <c r="DM29" s="48"/>
      <c r="DN29" s="48"/>
      <c r="DO29" s="67" t="s">
        <v>469</v>
      </c>
      <c r="DP29" s="67"/>
      <c r="DQ29" s="67"/>
      <c r="DR29" s="63"/>
      <c r="DS29" s="63"/>
      <c r="DT29" s="63"/>
      <c r="DU29" s="63"/>
      <c r="DV29" s="63"/>
      <c r="DW29" s="63"/>
      <c r="DX29" s="39"/>
      <c r="DY29" s="39"/>
      <c r="DZ29" s="39"/>
      <c r="EA29" s="39"/>
    </row>
    <row r="30" customFormat="false" ht="25.5" hidden="false" customHeight="true" outlineLevel="0" collapsed="false">
      <c r="A30" s="42"/>
      <c r="B30" s="42"/>
      <c r="C30" s="42"/>
      <c r="D30" s="42"/>
      <c r="E30" s="48" t="s">
        <v>603</v>
      </c>
      <c r="F30" s="48"/>
      <c r="G30" s="48"/>
      <c r="H30" s="67" t="s">
        <v>604</v>
      </c>
      <c r="I30" s="67"/>
      <c r="J30" s="67"/>
      <c r="K30" s="70" t="s">
        <v>605</v>
      </c>
      <c r="L30" s="70"/>
      <c r="M30" s="70"/>
      <c r="N30" s="74"/>
      <c r="O30" s="74"/>
      <c r="P30" s="74"/>
      <c r="Q30" s="48" t="s">
        <v>606</v>
      </c>
      <c r="R30" s="48"/>
      <c r="S30" s="48"/>
      <c r="T30" s="48" t="s">
        <v>456</v>
      </c>
      <c r="U30" s="48"/>
      <c r="V30" s="48"/>
      <c r="W30" s="48" t="n">
        <v>0</v>
      </c>
      <c r="X30" s="48"/>
      <c r="Y30" s="48"/>
      <c r="Z30" s="48" t="s">
        <v>475</v>
      </c>
      <c r="AA30" s="48"/>
      <c r="AB30" s="48"/>
      <c r="AC30" s="48" t="s">
        <v>476</v>
      </c>
      <c r="AD30" s="48"/>
      <c r="AE30" s="48"/>
      <c r="AF30" s="48" t="s">
        <v>477</v>
      </c>
      <c r="AG30" s="48"/>
      <c r="AH30" s="48"/>
      <c r="AI30" s="48" t="s">
        <v>464</v>
      </c>
      <c r="AJ30" s="48"/>
      <c r="AK30" s="48"/>
      <c r="AL30" s="42"/>
      <c r="AM30" s="42"/>
      <c r="AN30" s="42"/>
      <c r="AO30" s="42"/>
      <c r="AP30" s="42"/>
      <c r="AQ30" s="42"/>
      <c r="AS30" s="42"/>
      <c r="AT30" s="42"/>
      <c r="AU30" s="42"/>
      <c r="AV30" s="42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  <c r="BJ30" s="40"/>
      <c r="BK30" s="40"/>
      <c r="BL30" s="40" t="s">
        <v>607</v>
      </c>
      <c r="BM30" s="40"/>
      <c r="BN30" s="40"/>
      <c r="BO30" s="40"/>
      <c r="BP30" s="40"/>
      <c r="BQ30" s="40"/>
      <c r="BR30" s="40"/>
      <c r="BS30" s="40"/>
      <c r="BT30" s="40"/>
      <c r="BU30" s="40"/>
      <c r="BV30" s="40"/>
      <c r="BW30" s="40"/>
      <c r="BX30" s="40"/>
      <c r="BY30" s="40"/>
      <c r="BZ30" s="40"/>
      <c r="CA30" s="40"/>
      <c r="CB30" s="40"/>
      <c r="CC30" s="40"/>
      <c r="CD30" s="42"/>
      <c r="CE30" s="42"/>
      <c r="CF30" s="42"/>
      <c r="CG30" s="42"/>
      <c r="CH30" s="42"/>
      <c r="CI30" s="42"/>
      <c r="CK30" s="37"/>
      <c r="CL30" s="37"/>
      <c r="CM30" s="37"/>
      <c r="CN30" s="37"/>
      <c r="CO30" s="58"/>
      <c r="CP30" s="58"/>
      <c r="CQ30" s="58"/>
      <c r="CR30" s="58"/>
      <c r="CS30" s="58"/>
      <c r="CT30" s="58"/>
      <c r="CU30" s="58"/>
      <c r="CV30" s="58"/>
      <c r="CW30" s="58"/>
      <c r="CX30" s="58"/>
      <c r="CY30" s="58"/>
      <c r="CZ30" s="58"/>
      <c r="DA30" s="58"/>
      <c r="DB30" s="58"/>
      <c r="DC30" s="58"/>
      <c r="DD30" s="68" t="s">
        <v>608</v>
      </c>
      <c r="DE30" s="68"/>
      <c r="DF30" s="68"/>
      <c r="DG30" s="48" t="s">
        <v>456</v>
      </c>
      <c r="DH30" s="48"/>
      <c r="DI30" s="48"/>
      <c r="DJ30" s="48" t="s">
        <v>609</v>
      </c>
      <c r="DK30" s="48"/>
      <c r="DL30" s="48"/>
      <c r="DM30" s="48" t="s">
        <v>610</v>
      </c>
      <c r="DN30" s="48"/>
      <c r="DO30" s="48"/>
      <c r="DP30" s="34"/>
      <c r="DQ30" s="34"/>
      <c r="DR30" s="34"/>
      <c r="DS30" s="34"/>
      <c r="DT30" s="34"/>
      <c r="DU30" s="34" t="s">
        <v>474</v>
      </c>
      <c r="DV30" s="29"/>
      <c r="DW30" s="29"/>
      <c r="DX30" s="29"/>
      <c r="DY30" s="29"/>
      <c r="DZ30" s="29"/>
      <c r="EA30" s="29"/>
    </row>
    <row r="31" customFormat="false" ht="12.8" hidden="false" customHeight="true" outlineLevel="0" collapsed="false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40" t="s">
        <v>575</v>
      </c>
      <c r="O31" s="40"/>
      <c r="P31" s="40" t="s">
        <v>484</v>
      </c>
      <c r="Q31" s="40"/>
      <c r="R31" s="40"/>
      <c r="S31" s="40"/>
      <c r="T31" s="40"/>
      <c r="U31" s="40"/>
      <c r="V31" s="40" t="s">
        <v>485</v>
      </c>
      <c r="W31" s="42"/>
      <c r="X31" s="42"/>
      <c r="Y31" s="42"/>
      <c r="Z31" s="42"/>
      <c r="AA31" s="42"/>
      <c r="AB31" s="42"/>
      <c r="AC31" s="37"/>
      <c r="AD31" s="37"/>
      <c r="AE31" s="37"/>
      <c r="AF31" s="37"/>
      <c r="AG31" s="37"/>
      <c r="AH31" s="37"/>
      <c r="AI31" s="44"/>
      <c r="AJ31" s="44"/>
      <c r="AK31" s="44"/>
      <c r="AL31" s="34"/>
      <c r="AM31" s="34"/>
      <c r="AN31" s="34"/>
      <c r="AO31" s="44"/>
      <c r="AP31" s="44"/>
      <c r="AQ31" s="44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0"/>
      <c r="BG31" s="40"/>
      <c r="BH31" s="40"/>
      <c r="BI31" s="40"/>
      <c r="BJ31" s="40"/>
      <c r="BK31" s="40"/>
      <c r="BL31" s="40"/>
      <c r="BM31" s="40"/>
      <c r="BN31" s="40"/>
      <c r="BO31" s="42"/>
      <c r="BP31" s="42"/>
      <c r="BQ31" s="42"/>
      <c r="BR31" s="42"/>
      <c r="BS31" s="42"/>
      <c r="BT31" s="42"/>
      <c r="BU31" s="42"/>
      <c r="BV31" s="42"/>
      <c r="BW31" s="42"/>
      <c r="BX31" s="42"/>
      <c r="BY31" s="42"/>
      <c r="BZ31" s="42"/>
      <c r="CA31" s="75"/>
      <c r="CB31" s="75"/>
      <c r="CC31" s="75"/>
      <c r="CD31" s="58" t="s">
        <v>611</v>
      </c>
      <c r="CE31" s="58"/>
      <c r="CF31" s="58"/>
      <c r="CG31" s="75"/>
      <c r="CH31" s="75"/>
      <c r="CI31" s="75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48" t="s">
        <v>575</v>
      </c>
      <c r="CY31" s="48"/>
      <c r="CZ31" s="48" t="s">
        <v>484</v>
      </c>
      <c r="DA31" s="48"/>
      <c r="DB31" s="48"/>
      <c r="DC31" s="48"/>
      <c r="DD31" s="48"/>
      <c r="DE31" s="48"/>
      <c r="DF31" s="48" t="s">
        <v>485</v>
      </c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44"/>
      <c r="DT31" s="44"/>
      <c r="DU31" s="44"/>
      <c r="DV31" s="34"/>
      <c r="DW31" s="34"/>
      <c r="DX31" s="34"/>
      <c r="DY31" s="44"/>
      <c r="DZ31" s="44"/>
      <c r="EA31" s="44"/>
    </row>
    <row r="32" customFormat="false" ht="12.8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40"/>
      <c r="O32" s="40"/>
      <c r="P32" s="40"/>
      <c r="Q32" s="40"/>
      <c r="R32" s="40"/>
      <c r="S32" s="40"/>
      <c r="T32" s="40"/>
      <c r="U32" s="40"/>
      <c r="V32" s="40"/>
      <c r="W32" s="42"/>
      <c r="X32" s="42"/>
      <c r="Y32" s="42"/>
      <c r="Z32" s="42"/>
      <c r="AA32" s="42"/>
      <c r="AB32" s="42"/>
      <c r="AC32" s="37"/>
      <c r="AD32" s="37"/>
      <c r="AE32" s="37"/>
      <c r="AF32" s="37"/>
      <c r="AG32" s="37"/>
      <c r="AH32" s="37"/>
      <c r="AI32" s="34"/>
      <c r="AJ32" s="34"/>
      <c r="AK32" s="34"/>
      <c r="AL32" s="34"/>
      <c r="AM32" s="34"/>
      <c r="AN32" s="34"/>
      <c r="AO32" s="34"/>
      <c r="AP32" s="34"/>
      <c r="AQ32" s="34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0"/>
      <c r="BG32" s="40"/>
      <c r="BH32" s="40"/>
      <c r="BI32" s="40"/>
      <c r="BJ32" s="40"/>
      <c r="BK32" s="40"/>
      <c r="BL32" s="40"/>
      <c r="BM32" s="40"/>
      <c r="BN32" s="40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58" t="s">
        <v>607</v>
      </c>
      <c r="CB32" s="58"/>
      <c r="CC32" s="58"/>
      <c r="CD32" s="58" t="s">
        <v>611</v>
      </c>
      <c r="CE32" s="58"/>
      <c r="CF32" s="58"/>
      <c r="CG32" s="76" t="s">
        <v>612</v>
      </c>
      <c r="CH32" s="76"/>
      <c r="CI32" s="76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48"/>
      <c r="CY32" s="48"/>
      <c r="CZ32" s="48"/>
      <c r="DA32" s="48"/>
      <c r="DB32" s="48"/>
      <c r="DC32" s="48"/>
      <c r="DD32" s="48"/>
      <c r="DE32" s="48"/>
      <c r="DF32" s="48"/>
      <c r="DG32" s="37"/>
      <c r="DH32" s="37"/>
      <c r="DI32" s="37"/>
      <c r="DJ32" s="37"/>
      <c r="DK32" s="37"/>
      <c r="DL32" s="37"/>
      <c r="DM32" s="37"/>
      <c r="DN32" s="37"/>
      <c r="DO32" s="37"/>
      <c r="DP32" s="37"/>
      <c r="DQ32" s="37"/>
      <c r="DR32" s="37"/>
      <c r="DS32" s="34"/>
      <c r="DT32" s="34"/>
      <c r="DU32" s="34"/>
      <c r="DV32" s="34"/>
      <c r="DW32" s="34"/>
      <c r="DX32" s="34"/>
      <c r="DY32" s="34"/>
      <c r="DZ32" s="34"/>
      <c r="EA32" s="34"/>
    </row>
    <row r="33" customFormat="false" ht="12.8" hidden="false" customHeight="false" outlineLevel="0" collapsed="false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S33" s="45"/>
      <c r="AT33" s="45"/>
    </row>
    <row r="34" customFormat="false" ht="12.8" hidden="false" customHeight="false" outlineLevel="0" collapsed="false">
      <c r="A34" s="17"/>
      <c r="B34" s="17"/>
      <c r="C34" s="17"/>
      <c r="D34" s="66"/>
      <c r="E34" s="66"/>
      <c r="F34" s="6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7"/>
      <c r="AS34" s="26"/>
      <c r="AT34" s="27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7"/>
      <c r="CK34" s="66"/>
    </row>
    <row r="35" customFormat="false" ht="25.5" hidden="false" customHeight="true" outlineLevel="0" collapsed="false">
      <c r="A35" s="34"/>
      <c r="B35" s="29" t="s">
        <v>491</v>
      </c>
      <c r="C35" s="29"/>
      <c r="D35" s="29"/>
      <c r="E35" s="29" t="s">
        <v>467</v>
      </c>
      <c r="F35" s="29"/>
      <c r="G35" s="29"/>
      <c r="H35" s="29" t="s">
        <v>493</v>
      </c>
      <c r="I35" s="29"/>
      <c r="J35" s="29"/>
      <c r="K35" s="29" t="s">
        <v>494</v>
      </c>
      <c r="L35" s="29"/>
      <c r="M35" s="29"/>
      <c r="N35" s="29" t="s">
        <v>495</v>
      </c>
      <c r="O35" s="29"/>
      <c r="P35" s="29"/>
      <c r="Q35" s="29" t="s">
        <v>463</v>
      </c>
      <c r="R35" s="29"/>
      <c r="S35" s="29"/>
      <c r="T35" s="29" t="s">
        <v>496</v>
      </c>
      <c r="U35" s="29"/>
      <c r="V35" s="29"/>
      <c r="W35" s="29" t="s">
        <v>535</v>
      </c>
      <c r="X35" s="29"/>
      <c r="Y35" s="29"/>
      <c r="Z35" s="29" t="s">
        <v>498</v>
      </c>
      <c r="AA35" s="29"/>
      <c r="AB35" s="29"/>
      <c r="AC35" s="29" t="s">
        <v>499</v>
      </c>
      <c r="AD35" s="29"/>
      <c r="AE35" s="29"/>
      <c r="AF35" s="29" t="s">
        <v>462</v>
      </c>
      <c r="AG35" s="29"/>
      <c r="AH35" s="29"/>
      <c r="AI35" s="29" t="s">
        <v>451</v>
      </c>
      <c r="AJ35" s="29"/>
      <c r="AK35" s="29"/>
      <c r="AL35" s="46" t="s">
        <v>502</v>
      </c>
      <c r="AM35" s="46"/>
      <c r="AN35" s="46"/>
      <c r="AO35" s="34"/>
      <c r="AP35" s="34"/>
      <c r="AQ35" s="34"/>
      <c r="AS35" s="42"/>
      <c r="AT35" s="29" t="s">
        <v>440</v>
      </c>
      <c r="AU35" s="29"/>
      <c r="AV35" s="29"/>
      <c r="AW35" s="29" t="s">
        <v>441</v>
      </c>
      <c r="AX35" s="29"/>
      <c r="AY35" s="29"/>
      <c r="AZ35" s="29" t="s">
        <v>442</v>
      </c>
      <c r="BA35" s="29"/>
      <c r="BB35" s="29"/>
      <c r="BC35" s="29" t="s">
        <v>443</v>
      </c>
      <c r="BD35" s="29"/>
      <c r="BE35" s="29"/>
      <c r="BF35" s="29" t="s">
        <v>444</v>
      </c>
      <c r="BG35" s="29"/>
      <c r="BH35" s="29"/>
      <c r="BI35" s="29" t="s">
        <v>445</v>
      </c>
      <c r="BJ35" s="29"/>
      <c r="BK35" s="29"/>
      <c r="BL35" s="29" t="s">
        <v>446</v>
      </c>
      <c r="BM35" s="29"/>
      <c r="BN35" s="29"/>
      <c r="BO35" s="29" t="s">
        <v>447</v>
      </c>
      <c r="BP35" s="29"/>
      <c r="BQ35" s="29"/>
      <c r="BR35" s="29" t="s">
        <v>448</v>
      </c>
      <c r="BS35" s="29"/>
      <c r="BT35" s="29"/>
      <c r="BU35" s="29" t="s">
        <v>449</v>
      </c>
      <c r="BV35" s="29"/>
      <c r="BW35" s="29"/>
      <c r="BX35" s="29" t="s">
        <v>450</v>
      </c>
      <c r="BY35" s="29"/>
      <c r="BZ35" s="29"/>
      <c r="CA35" s="29" t="s">
        <v>451</v>
      </c>
      <c r="CB35" s="29"/>
      <c r="CC35" s="29"/>
      <c r="CD35" s="40"/>
      <c r="CE35" s="40"/>
      <c r="CF35" s="40"/>
      <c r="CG35" s="40"/>
      <c r="CH35" s="40"/>
      <c r="CI35" s="40"/>
      <c r="CK35" s="42"/>
      <c r="CL35" s="29" t="s">
        <v>440</v>
      </c>
      <c r="CM35" s="29"/>
      <c r="CN35" s="29"/>
      <c r="CO35" s="29" t="s">
        <v>441</v>
      </c>
      <c r="CP35" s="29"/>
      <c r="CQ35" s="29"/>
      <c r="CR35" s="29" t="s">
        <v>442</v>
      </c>
      <c r="CS35" s="29"/>
      <c r="CT35" s="29"/>
      <c r="CU35" s="29" t="s">
        <v>443</v>
      </c>
      <c r="CV35" s="29"/>
      <c r="CW35" s="29"/>
      <c r="CX35" s="29" t="s">
        <v>444</v>
      </c>
      <c r="CY35" s="29"/>
      <c r="CZ35" s="29"/>
      <c r="DA35" s="29" t="s">
        <v>445</v>
      </c>
      <c r="DB35" s="29"/>
      <c r="DC35" s="29"/>
      <c r="DD35" s="29" t="s">
        <v>446</v>
      </c>
      <c r="DE35" s="29"/>
      <c r="DF35" s="29"/>
      <c r="DG35" s="29" t="s">
        <v>447</v>
      </c>
      <c r="DH35" s="29"/>
      <c r="DI35" s="29"/>
      <c r="DJ35" s="29" t="s">
        <v>448</v>
      </c>
      <c r="DK35" s="29"/>
      <c r="DL35" s="29"/>
      <c r="DM35" s="29" t="s">
        <v>449</v>
      </c>
      <c r="DN35" s="29"/>
      <c r="DO35" s="29"/>
      <c r="DP35" s="29" t="s">
        <v>450</v>
      </c>
      <c r="DQ35" s="29"/>
      <c r="DR35" s="29"/>
      <c r="DS35" s="29" t="s">
        <v>451</v>
      </c>
      <c r="DT35" s="29"/>
      <c r="DU35" s="29"/>
      <c r="DV35" s="50"/>
      <c r="DW35" s="50"/>
      <c r="DX35" s="50"/>
      <c r="DY35" s="42"/>
      <c r="DZ35" s="42"/>
      <c r="EA35" s="42"/>
    </row>
    <row r="36" customFormat="false" ht="25.5" hidden="false" customHeight="true" outlineLevel="0" collapsed="false">
      <c r="A36" s="29"/>
      <c r="B36" s="29"/>
      <c r="C36" s="46" t="s">
        <v>509</v>
      </c>
      <c r="D36" s="46"/>
      <c r="E36" s="46"/>
      <c r="F36" s="46" t="s">
        <v>510</v>
      </c>
      <c r="G36" s="46"/>
      <c r="H36" s="46"/>
      <c r="I36" s="46" t="s">
        <v>511</v>
      </c>
      <c r="J36" s="46"/>
      <c r="K36" s="46"/>
      <c r="L36" s="46" t="s">
        <v>53</v>
      </c>
      <c r="M36" s="46"/>
      <c r="N36" s="46"/>
      <c r="O36" s="46" t="s">
        <v>512</v>
      </c>
      <c r="P36" s="46"/>
      <c r="Q36" s="46"/>
      <c r="R36" s="46" t="s">
        <v>513</v>
      </c>
      <c r="S36" s="46"/>
      <c r="T36" s="46"/>
      <c r="U36" s="46" t="s">
        <v>514</v>
      </c>
      <c r="V36" s="46"/>
      <c r="W36" s="46"/>
      <c r="X36" s="46" t="s">
        <v>515</v>
      </c>
      <c r="Y36" s="46"/>
      <c r="Z36" s="46"/>
      <c r="AA36" s="46" t="s">
        <v>516</v>
      </c>
      <c r="AB36" s="46"/>
      <c r="AC36" s="46"/>
      <c r="AD36" s="46" t="s">
        <v>517</v>
      </c>
      <c r="AE36" s="46"/>
      <c r="AF36" s="46"/>
      <c r="AG36" s="46" t="s">
        <v>518</v>
      </c>
      <c r="AH36" s="46"/>
      <c r="AI36" s="46"/>
      <c r="AJ36" s="46" t="s">
        <v>519</v>
      </c>
      <c r="AK36" s="46"/>
      <c r="AL36" s="46"/>
      <c r="AM36" s="29"/>
      <c r="AN36" s="29"/>
      <c r="AO36" s="29"/>
      <c r="AP36" s="29"/>
      <c r="AQ36" s="29"/>
      <c r="AS36" s="42"/>
      <c r="AT36" s="42"/>
      <c r="AU36" s="48" t="s">
        <v>520</v>
      </c>
      <c r="AV36" s="48"/>
      <c r="AW36" s="48"/>
      <c r="AX36" s="29" t="s">
        <v>477</v>
      </c>
      <c r="AY36" s="29"/>
      <c r="AZ36" s="29"/>
      <c r="BA36" s="37" t="s">
        <v>507</v>
      </c>
      <c r="BB36" s="37"/>
      <c r="BC36" s="37"/>
      <c r="BD36" s="37" t="s">
        <v>522</v>
      </c>
      <c r="BE36" s="37"/>
      <c r="BF36" s="37"/>
      <c r="BG36" s="50"/>
      <c r="BH36" s="50"/>
      <c r="BI36" s="50"/>
      <c r="BJ36" s="50"/>
      <c r="BK36" s="50"/>
      <c r="BL36" s="50"/>
      <c r="BM36" s="49" t="s">
        <v>504</v>
      </c>
      <c r="BN36" s="49"/>
      <c r="BO36" s="49"/>
      <c r="BP36" s="49" t="s">
        <v>505</v>
      </c>
      <c r="BQ36" s="49"/>
      <c r="BR36" s="49"/>
      <c r="BS36" s="49" t="s">
        <v>506</v>
      </c>
      <c r="BT36" s="49"/>
      <c r="BU36" s="49"/>
      <c r="BV36" s="50"/>
      <c r="BW36" s="50"/>
      <c r="BX36" s="50"/>
      <c r="BY36" s="50"/>
      <c r="BZ36" s="50"/>
      <c r="CA36" s="50"/>
      <c r="CB36" s="50"/>
      <c r="CC36" s="50"/>
      <c r="CD36" s="50"/>
      <c r="CE36" s="42"/>
      <c r="CF36" s="42"/>
      <c r="CG36" s="42"/>
      <c r="CH36" s="42"/>
      <c r="CI36" s="42"/>
      <c r="CK36" s="42"/>
      <c r="CL36" s="42"/>
      <c r="CM36" s="48" t="s">
        <v>520</v>
      </c>
      <c r="CN36" s="48"/>
      <c r="CO36" s="48"/>
      <c r="CP36" s="48" t="s">
        <v>521</v>
      </c>
      <c r="CQ36" s="48"/>
      <c r="CR36" s="48"/>
      <c r="CS36" s="29" t="s">
        <v>477</v>
      </c>
      <c r="CT36" s="29"/>
      <c r="CU36" s="29"/>
      <c r="CV36" s="37" t="s">
        <v>507</v>
      </c>
      <c r="CW36" s="37"/>
      <c r="CX36" s="37"/>
      <c r="CY36" s="37" t="s">
        <v>522</v>
      </c>
      <c r="CZ36" s="37"/>
      <c r="DA36" s="37"/>
      <c r="DB36" s="50"/>
      <c r="DC36" s="50"/>
      <c r="DD36" s="50"/>
      <c r="DE36" s="49" t="s">
        <v>504</v>
      </c>
      <c r="DF36" s="49"/>
      <c r="DG36" s="49"/>
      <c r="DH36" s="49" t="s">
        <v>505</v>
      </c>
      <c r="DI36" s="49"/>
      <c r="DJ36" s="49"/>
      <c r="DK36" s="49" t="s">
        <v>506</v>
      </c>
      <c r="DL36" s="49"/>
      <c r="DM36" s="49"/>
      <c r="DN36" s="50"/>
      <c r="DO36" s="50"/>
      <c r="DP36" s="50"/>
      <c r="DQ36" s="50"/>
      <c r="DR36" s="50"/>
      <c r="DS36" s="50"/>
      <c r="DT36" s="50"/>
      <c r="DU36" s="50"/>
      <c r="DV36" s="50"/>
      <c r="DW36" s="42"/>
      <c r="DX36" s="42"/>
      <c r="DY36" s="42"/>
      <c r="DZ36" s="42"/>
      <c r="EA36" s="42"/>
    </row>
    <row r="37" customFormat="false" ht="25.5" hidden="false" customHeight="true" outlineLevel="0" collapsed="false">
      <c r="A37" s="37"/>
      <c r="B37" s="37"/>
      <c r="C37" s="37"/>
      <c r="D37" s="46" t="s">
        <v>526</v>
      </c>
      <c r="E37" s="46"/>
      <c r="F37" s="46"/>
      <c r="G37" s="46" t="s">
        <v>527</v>
      </c>
      <c r="H37" s="46"/>
      <c r="I37" s="46"/>
      <c r="J37" s="46" t="s">
        <v>528</v>
      </c>
      <c r="K37" s="46"/>
      <c r="L37" s="46"/>
      <c r="M37" s="51" t="s">
        <v>529</v>
      </c>
      <c r="N37" s="51"/>
      <c r="O37" s="51"/>
      <c r="P37" s="46" t="s">
        <v>530</v>
      </c>
      <c r="Q37" s="46"/>
      <c r="R37" s="46"/>
      <c r="S37" s="46" t="s">
        <v>531</v>
      </c>
      <c r="T37" s="46"/>
      <c r="U37" s="46"/>
      <c r="V37" s="51" t="s">
        <v>532</v>
      </c>
      <c r="W37" s="51"/>
      <c r="X37" s="51"/>
      <c r="Y37" s="46" t="s">
        <v>533</v>
      </c>
      <c r="Z37" s="46"/>
      <c r="AA37" s="46"/>
      <c r="AB37" s="46" t="s">
        <v>78</v>
      </c>
      <c r="AC37" s="46"/>
      <c r="AD37" s="46"/>
      <c r="AE37" s="46" t="s">
        <v>534</v>
      </c>
      <c r="AF37" s="46"/>
      <c r="AG37" s="46"/>
      <c r="AH37" s="46" t="s">
        <v>535</v>
      </c>
      <c r="AI37" s="46"/>
      <c r="AJ37" s="46"/>
      <c r="AK37" s="46" t="s">
        <v>536</v>
      </c>
      <c r="AL37" s="46"/>
      <c r="AM37" s="46"/>
      <c r="AN37" s="39"/>
      <c r="AO37" s="39"/>
      <c r="AP37" s="39"/>
      <c r="AQ37" s="39"/>
      <c r="AS37" s="40"/>
      <c r="AT37" s="40"/>
      <c r="AU37" s="40"/>
      <c r="AV37" s="52" t="s">
        <v>498</v>
      </c>
      <c r="AW37" s="52"/>
      <c r="AX37" s="52"/>
      <c r="AY37" s="48" t="s">
        <v>499</v>
      </c>
      <c r="AZ37" s="48"/>
      <c r="BA37" s="48"/>
      <c r="BB37" s="46" t="s">
        <v>537</v>
      </c>
      <c r="BC37" s="46"/>
      <c r="BD37" s="46"/>
      <c r="BE37" s="38" t="s">
        <v>462</v>
      </c>
      <c r="BF37" s="38"/>
      <c r="BG37" s="38"/>
      <c r="BH37" s="49" t="s">
        <v>500</v>
      </c>
      <c r="BI37" s="49"/>
      <c r="BJ37" s="49"/>
      <c r="BK37" s="49" t="s">
        <v>500</v>
      </c>
      <c r="BL37" s="49"/>
      <c r="BM37" s="49"/>
      <c r="BN37" s="51" t="s">
        <v>554</v>
      </c>
      <c r="BO37" s="51"/>
      <c r="BP37" s="51"/>
      <c r="BQ37" s="49" t="s">
        <v>538</v>
      </c>
      <c r="BR37" s="49"/>
      <c r="BS37" s="49"/>
      <c r="BT37" s="46" t="s">
        <v>539</v>
      </c>
      <c r="BU37" s="46"/>
      <c r="BV37" s="46"/>
      <c r="BW37" s="48" t="s">
        <v>469</v>
      </c>
      <c r="BX37" s="48"/>
      <c r="BY37" s="48"/>
      <c r="BZ37" s="50"/>
      <c r="CA37" s="50"/>
      <c r="CB37" s="50"/>
      <c r="CC37" s="50"/>
      <c r="CD37" s="50"/>
      <c r="CE37" s="50"/>
      <c r="CF37" s="53"/>
      <c r="CG37" s="53"/>
      <c r="CH37" s="53"/>
      <c r="CI37" s="53"/>
      <c r="CJ37" s="77"/>
      <c r="CK37" s="40"/>
      <c r="CL37" s="40"/>
      <c r="CM37" s="40"/>
      <c r="CN37" s="52" t="s">
        <v>498</v>
      </c>
      <c r="CO37" s="52"/>
      <c r="CP37" s="52"/>
      <c r="CQ37" s="48" t="s">
        <v>499</v>
      </c>
      <c r="CR37" s="48"/>
      <c r="CS37" s="48"/>
      <c r="CT37" s="46" t="s">
        <v>537</v>
      </c>
      <c r="CU37" s="46"/>
      <c r="CV37" s="46"/>
      <c r="CW37" s="38" t="s">
        <v>462</v>
      </c>
      <c r="CX37" s="38"/>
      <c r="CY37" s="38"/>
      <c r="CZ37" s="49" t="s">
        <v>500</v>
      </c>
      <c r="DA37" s="49"/>
      <c r="DB37" s="49"/>
      <c r="DC37" s="49" t="s">
        <v>500</v>
      </c>
      <c r="DD37" s="49"/>
      <c r="DE37" s="49"/>
      <c r="DF37" s="51" t="s">
        <v>554</v>
      </c>
      <c r="DG37" s="51"/>
      <c r="DH37" s="51"/>
      <c r="DI37" s="49" t="s">
        <v>538</v>
      </c>
      <c r="DJ37" s="49"/>
      <c r="DK37" s="49"/>
      <c r="DL37" s="46" t="s">
        <v>539</v>
      </c>
      <c r="DM37" s="46"/>
      <c r="DN37" s="46"/>
      <c r="DO37" s="48" t="s">
        <v>469</v>
      </c>
      <c r="DP37" s="48"/>
      <c r="DQ37" s="48"/>
      <c r="DR37" s="50"/>
      <c r="DS37" s="50"/>
      <c r="DT37" s="50"/>
      <c r="DU37" s="50"/>
      <c r="DV37" s="50"/>
      <c r="DW37" s="50"/>
      <c r="DX37" s="53"/>
      <c r="DY37" s="53"/>
      <c r="DZ37" s="53"/>
      <c r="EA37" s="53"/>
    </row>
    <row r="38" customFormat="false" ht="25.5" hidden="false" customHeight="true" outlineLevel="0" collapsed="false">
      <c r="A38" s="37"/>
      <c r="B38" s="37"/>
      <c r="C38" s="37"/>
      <c r="D38" s="37"/>
      <c r="E38" s="46" t="s">
        <v>541</v>
      </c>
      <c r="F38" s="46"/>
      <c r="G38" s="46"/>
      <c r="H38" s="46" t="s">
        <v>542</v>
      </c>
      <c r="I38" s="46"/>
      <c r="J38" s="46"/>
      <c r="K38" s="46" t="s">
        <v>543</v>
      </c>
      <c r="L38" s="46"/>
      <c r="M38" s="46"/>
      <c r="N38" s="46" t="s">
        <v>544</v>
      </c>
      <c r="O38" s="46"/>
      <c r="P38" s="46"/>
      <c r="Q38" s="46" t="s">
        <v>545</v>
      </c>
      <c r="R38" s="46"/>
      <c r="S38" s="46"/>
      <c r="T38" s="46" t="s">
        <v>546</v>
      </c>
      <c r="U38" s="46"/>
      <c r="V38" s="46"/>
      <c r="W38" s="46" t="s">
        <v>547</v>
      </c>
      <c r="X38" s="46"/>
      <c r="Y38" s="46"/>
      <c r="Z38" s="46" t="s">
        <v>548</v>
      </c>
      <c r="AA38" s="46"/>
      <c r="AB38" s="46"/>
      <c r="AC38" s="46" t="s">
        <v>549</v>
      </c>
      <c r="AD38" s="46"/>
      <c r="AE38" s="46"/>
      <c r="AF38" s="46" t="s">
        <v>520</v>
      </c>
      <c r="AG38" s="46"/>
      <c r="AH38" s="46"/>
      <c r="AI38" s="46" t="s">
        <v>537</v>
      </c>
      <c r="AJ38" s="46"/>
      <c r="AK38" s="46" t="s">
        <v>474</v>
      </c>
      <c r="AL38" s="29"/>
      <c r="AM38" s="29"/>
      <c r="AN38" s="29"/>
      <c r="AO38" s="29"/>
      <c r="AP38" s="29"/>
      <c r="AQ38" s="29"/>
      <c r="AS38" s="42"/>
      <c r="AT38" s="42"/>
      <c r="AU38" s="42"/>
      <c r="AV38" s="42"/>
      <c r="AW38" s="47" t="s">
        <v>519</v>
      </c>
      <c r="AX38" s="47"/>
      <c r="AY38" s="47"/>
      <c r="AZ38" s="47" t="s">
        <v>536</v>
      </c>
      <c r="BA38" s="47"/>
      <c r="BB38" s="47"/>
      <c r="BC38" s="47" t="s">
        <v>468</v>
      </c>
      <c r="BD38" s="47"/>
      <c r="BE38" s="47"/>
      <c r="BF38" s="47" t="s">
        <v>472</v>
      </c>
      <c r="BG38" s="47"/>
      <c r="BH38" s="47"/>
      <c r="BI38" s="47" t="s">
        <v>464</v>
      </c>
      <c r="BJ38" s="47"/>
      <c r="BK38" s="47"/>
      <c r="BL38" s="47" t="s">
        <v>493</v>
      </c>
      <c r="BM38" s="47"/>
      <c r="BN38" s="47"/>
      <c r="BO38" s="49" t="s">
        <v>540</v>
      </c>
      <c r="BP38" s="49"/>
      <c r="BQ38" s="49"/>
      <c r="BR38" s="49" t="s">
        <v>523</v>
      </c>
      <c r="BS38" s="49"/>
      <c r="BT38" s="49"/>
      <c r="BU38" s="49" t="s">
        <v>524</v>
      </c>
      <c r="BV38" s="49"/>
      <c r="BW38" s="49"/>
      <c r="BX38" s="49" t="s">
        <v>525</v>
      </c>
      <c r="BY38" s="49"/>
      <c r="BZ38" s="49"/>
      <c r="CA38" s="50"/>
      <c r="CB38" s="50"/>
      <c r="CC38" s="50"/>
      <c r="CD38" s="42"/>
      <c r="CE38" s="42"/>
      <c r="CF38" s="42"/>
      <c r="CG38" s="42"/>
      <c r="CH38" s="42"/>
      <c r="CI38" s="42"/>
      <c r="CK38" s="42"/>
      <c r="CL38" s="42"/>
      <c r="CM38" s="42"/>
      <c r="CN38" s="42"/>
      <c r="CO38" s="47" t="s">
        <v>519</v>
      </c>
      <c r="CP38" s="47"/>
      <c r="CQ38" s="47"/>
      <c r="CR38" s="47" t="s">
        <v>536</v>
      </c>
      <c r="CS38" s="47"/>
      <c r="CT38" s="47"/>
      <c r="CU38" s="47" t="s">
        <v>468</v>
      </c>
      <c r="CV38" s="47"/>
      <c r="CW38" s="47"/>
      <c r="CX38" s="47" t="s">
        <v>472</v>
      </c>
      <c r="CY38" s="47"/>
      <c r="CZ38" s="47"/>
      <c r="DA38" s="47" t="s">
        <v>464</v>
      </c>
      <c r="DB38" s="47"/>
      <c r="DC38" s="47"/>
      <c r="DD38" s="47" t="s">
        <v>493</v>
      </c>
      <c r="DE38" s="47"/>
      <c r="DF38" s="47"/>
      <c r="DG38" s="49" t="s">
        <v>540</v>
      </c>
      <c r="DH38" s="49"/>
      <c r="DI38" s="49"/>
      <c r="DJ38" s="49" t="s">
        <v>523</v>
      </c>
      <c r="DK38" s="49"/>
      <c r="DL38" s="49"/>
      <c r="DM38" s="49" t="s">
        <v>524</v>
      </c>
      <c r="DN38" s="49"/>
      <c r="DO38" s="49"/>
      <c r="DP38" s="49" t="s">
        <v>525</v>
      </c>
      <c r="DQ38" s="49"/>
      <c r="DR38" s="49"/>
      <c r="DS38" s="50"/>
      <c r="DT38" s="50"/>
      <c r="DU38" s="50"/>
      <c r="DV38" s="42"/>
      <c r="DW38" s="42"/>
      <c r="DX38" s="42"/>
      <c r="DY38" s="42"/>
      <c r="DZ38" s="42"/>
      <c r="EA38" s="42"/>
    </row>
    <row r="39" customFormat="false" ht="12.8" hidden="false" customHeight="true" outlineLevel="0" collapsed="false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44"/>
      <c r="AJ39" s="44"/>
      <c r="AK39" s="44"/>
      <c r="AL39" s="34"/>
      <c r="AM39" s="34"/>
      <c r="AN39" s="34"/>
      <c r="AO39" s="44"/>
      <c r="AP39" s="44"/>
      <c r="AQ39" s="44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42" t="s">
        <v>575</v>
      </c>
      <c r="BG39" s="42"/>
      <c r="BH39" s="42"/>
      <c r="BI39" s="42"/>
      <c r="BJ39" s="42"/>
      <c r="BK39" s="42"/>
      <c r="BL39" s="42"/>
      <c r="BM39" s="42"/>
      <c r="BN39" s="42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44"/>
      <c r="CB39" s="44"/>
      <c r="CC39" s="44"/>
      <c r="CD39" s="34"/>
      <c r="CE39" s="34"/>
      <c r="CF39" s="34"/>
      <c r="CG39" s="44"/>
      <c r="CH39" s="44"/>
      <c r="CI39" s="44"/>
      <c r="CK39" s="63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65" t="s">
        <v>575</v>
      </c>
      <c r="CY39" s="65"/>
      <c r="CZ39" s="65"/>
      <c r="DA39" s="65"/>
      <c r="DB39" s="65"/>
      <c r="DC39" s="65"/>
      <c r="DD39" s="65"/>
      <c r="DE39" s="65"/>
      <c r="DF39" s="65"/>
      <c r="DG39" s="48" t="s">
        <v>469</v>
      </c>
      <c r="DH39" s="48"/>
      <c r="DI39" s="48"/>
      <c r="DJ39" s="37"/>
      <c r="DK39" s="37"/>
      <c r="DL39" s="37"/>
      <c r="DM39" s="37"/>
      <c r="DN39" s="37"/>
      <c r="DO39" s="37"/>
      <c r="DP39" s="37"/>
      <c r="DQ39" s="37"/>
      <c r="DR39" s="37"/>
      <c r="DS39" s="44"/>
      <c r="DT39" s="44"/>
      <c r="DU39" s="44"/>
      <c r="DV39" s="34"/>
      <c r="DW39" s="34"/>
      <c r="DX39" s="34"/>
      <c r="DY39" s="44"/>
      <c r="DZ39" s="44"/>
      <c r="EA39" s="44"/>
    </row>
    <row r="40" customFormat="false" ht="12.8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4"/>
      <c r="AJ40" s="34"/>
      <c r="AK40" s="34"/>
      <c r="AL40" s="34"/>
      <c r="AM40" s="34"/>
      <c r="AN40" s="34"/>
      <c r="AO40" s="34"/>
      <c r="AP40" s="34"/>
      <c r="AQ40" s="34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42"/>
      <c r="BG40" s="42"/>
      <c r="BH40" s="42"/>
      <c r="BI40" s="42"/>
      <c r="BJ40" s="42"/>
      <c r="BK40" s="42"/>
      <c r="BL40" s="42"/>
      <c r="BM40" s="42"/>
      <c r="BN40" s="42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4"/>
      <c r="CB40" s="34"/>
      <c r="CC40" s="34"/>
      <c r="CD40" s="34"/>
      <c r="CE40" s="34"/>
      <c r="CF40" s="34"/>
      <c r="CG40" s="34"/>
      <c r="CH40" s="34"/>
      <c r="CI40" s="34"/>
      <c r="CK40" s="63"/>
      <c r="CL40" s="63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65"/>
      <c r="CY40" s="65"/>
      <c r="CZ40" s="65"/>
      <c r="DA40" s="65"/>
      <c r="DB40" s="65"/>
      <c r="DC40" s="65"/>
      <c r="DD40" s="65"/>
      <c r="DE40" s="65"/>
      <c r="DF40" s="65"/>
      <c r="DG40" s="48"/>
      <c r="DH40" s="48"/>
      <c r="DI40" s="48"/>
      <c r="DJ40" s="37"/>
      <c r="DK40" s="37"/>
      <c r="DL40" s="37"/>
      <c r="DM40" s="37"/>
      <c r="DN40" s="37"/>
      <c r="DO40" s="37"/>
      <c r="DP40" s="37"/>
      <c r="DQ40" s="37"/>
      <c r="DR40" s="37"/>
      <c r="DS40" s="34"/>
      <c r="DT40" s="34"/>
      <c r="DU40" s="34"/>
      <c r="DV40" s="34"/>
      <c r="DW40" s="34"/>
      <c r="DX40" s="34"/>
      <c r="DY40" s="34"/>
      <c r="DZ40" s="34"/>
      <c r="EA40" s="34"/>
    </row>
    <row r="41" customFormat="false" ht="12.8" hidden="false" customHeight="false" outlineLevel="0" collapsed="false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CZ41" s="1"/>
    </row>
    <row r="42" customFormat="false" ht="12.8" hidden="false" customHeight="false" outlineLevel="0" collapsed="false">
      <c r="A42" s="66"/>
      <c r="B42" s="66"/>
      <c r="C42" s="66"/>
      <c r="D42" s="66"/>
      <c r="E42" s="66"/>
      <c r="F42" s="6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7"/>
      <c r="AS42" s="66"/>
      <c r="AT42" s="6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7"/>
      <c r="CK42" s="55" t="s">
        <v>613</v>
      </c>
    </row>
    <row r="43" customFormat="false" ht="25.5" hidden="false" customHeight="true" outlineLevel="0" collapsed="false">
      <c r="A43" s="42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50"/>
      <c r="AM43" s="50"/>
      <c r="AN43" s="50"/>
      <c r="AO43" s="42"/>
      <c r="AP43" s="42"/>
      <c r="AQ43" s="42"/>
      <c r="AS43" s="42"/>
      <c r="AT43" s="29" t="s">
        <v>440</v>
      </c>
      <c r="AU43" s="29"/>
      <c r="AV43" s="29"/>
      <c r="AW43" s="29" t="s">
        <v>441</v>
      </c>
      <c r="AX43" s="29"/>
      <c r="AY43" s="29"/>
      <c r="AZ43" s="29" t="s">
        <v>442</v>
      </c>
      <c r="BA43" s="29"/>
      <c r="BB43" s="29"/>
      <c r="BC43" s="29" t="s">
        <v>443</v>
      </c>
      <c r="BD43" s="29"/>
      <c r="BE43" s="29"/>
      <c r="BF43" s="29" t="s">
        <v>444</v>
      </c>
      <c r="BG43" s="29"/>
      <c r="BH43" s="29"/>
      <c r="BI43" s="29" t="s">
        <v>445</v>
      </c>
      <c r="BJ43" s="29"/>
      <c r="BK43" s="29"/>
      <c r="BL43" s="29" t="s">
        <v>446</v>
      </c>
      <c r="BM43" s="29"/>
      <c r="BN43" s="29"/>
      <c r="BO43" s="29" t="s">
        <v>447</v>
      </c>
      <c r="BP43" s="29"/>
      <c r="BQ43" s="29"/>
      <c r="BR43" s="29" t="s">
        <v>448</v>
      </c>
      <c r="BS43" s="29"/>
      <c r="BT43" s="29"/>
      <c r="BU43" s="29" t="s">
        <v>449</v>
      </c>
      <c r="BV43" s="29"/>
      <c r="BW43" s="29"/>
      <c r="BX43" s="29" t="s">
        <v>450</v>
      </c>
      <c r="BY43" s="29"/>
      <c r="BZ43" s="29"/>
      <c r="CA43" s="29" t="s">
        <v>451</v>
      </c>
      <c r="CB43" s="29"/>
      <c r="CC43" s="29"/>
      <c r="CD43" s="50"/>
      <c r="CE43" s="50"/>
      <c r="CF43" s="50"/>
      <c r="CG43" s="42"/>
      <c r="CH43" s="42"/>
      <c r="CI43" s="42"/>
      <c r="CK43" s="42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40"/>
      <c r="DZ43" s="40"/>
      <c r="EA43" s="40"/>
    </row>
    <row r="44" customFormat="false" ht="25.5" hidden="false" customHeight="true" outlineLevel="0" collapsed="false">
      <c r="A44" s="42"/>
      <c r="B44" s="42"/>
      <c r="C44" s="29" t="s">
        <v>491</v>
      </c>
      <c r="D44" s="29"/>
      <c r="E44" s="29"/>
      <c r="F44" s="34" t="s">
        <v>492</v>
      </c>
      <c r="G44" s="34"/>
      <c r="H44" s="34"/>
      <c r="I44" s="29" t="s">
        <v>493</v>
      </c>
      <c r="J44" s="29"/>
      <c r="K44" s="29"/>
      <c r="L44" s="29" t="s">
        <v>494</v>
      </c>
      <c r="M44" s="29"/>
      <c r="N44" s="29"/>
      <c r="O44" s="29" t="s">
        <v>501</v>
      </c>
      <c r="P44" s="29"/>
      <c r="Q44" s="2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7"/>
      <c r="AE44" s="47"/>
      <c r="AF44" s="47"/>
      <c r="AG44" s="50"/>
      <c r="AH44" s="50"/>
      <c r="AI44" s="50"/>
      <c r="AJ44" s="50"/>
      <c r="AK44" s="50"/>
      <c r="AL44" s="50"/>
      <c r="AM44" s="42"/>
      <c r="AN44" s="42"/>
      <c r="AO44" s="42"/>
      <c r="AP44" s="42"/>
      <c r="AQ44" s="42"/>
      <c r="AS44" s="42"/>
      <c r="AT44" s="42"/>
      <c r="AU44" s="48" t="s">
        <v>520</v>
      </c>
      <c r="AV44" s="48"/>
      <c r="AW44" s="48"/>
      <c r="AX44" s="48" t="s">
        <v>521</v>
      </c>
      <c r="AY44" s="48"/>
      <c r="AZ44" s="48"/>
      <c r="BA44" s="29" t="s">
        <v>477</v>
      </c>
      <c r="BB44" s="29"/>
      <c r="BC44" s="29"/>
      <c r="BD44" s="37" t="s">
        <v>507</v>
      </c>
      <c r="BE44" s="37"/>
      <c r="BF44" s="37"/>
      <c r="BG44" s="37" t="s">
        <v>522</v>
      </c>
      <c r="BH44" s="37"/>
      <c r="BI44" s="37"/>
      <c r="BJ44" s="49" t="s">
        <v>465</v>
      </c>
      <c r="BK44" s="49"/>
      <c r="BL44" s="49"/>
      <c r="BM44" s="49" t="s">
        <v>504</v>
      </c>
      <c r="BN44" s="49"/>
      <c r="BO44" s="49"/>
      <c r="BP44" s="49" t="s">
        <v>505</v>
      </c>
      <c r="BQ44" s="49"/>
      <c r="BR44" s="49"/>
      <c r="BS44" s="49" t="s">
        <v>506</v>
      </c>
      <c r="BT44" s="49"/>
      <c r="BU44" s="49"/>
      <c r="BV44" s="78" t="s">
        <v>492</v>
      </c>
      <c r="BW44" s="78"/>
      <c r="BX44" s="78"/>
      <c r="BY44" s="50"/>
      <c r="BZ44" s="50"/>
      <c r="CA44" s="50"/>
      <c r="CB44" s="50"/>
      <c r="CC44" s="50"/>
      <c r="CD44" s="50"/>
      <c r="CE44" s="42"/>
      <c r="CF44" s="42"/>
      <c r="CG44" s="42"/>
      <c r="CH44" s="42"/>
      <c r="CI44" s="42"/>
      <c r="CK44" s="42"/>
      <c r="CL44" s="42"/>
      <c r="CM44" s="47" t="s">
        <v>491</v>
      </c>
      <c r="CN44" s="47"/>
      <c r="CO44" s="47"/>
      <c r="CP44" s="47" t="s">
        <v>492</v>
      </c>
      <c r="CQ44" s="47"/>
      <c r="CR44" s="47"/>
      <c r="CS44" s="47" t="s">
        <v>493</v>
      </c>
      <c r="CT44" s="47"/>
      <c r="CU44" s="47"/>
      <c r="CV44" s="47" t="s">
        <v>494</v>
      </c>
      <c r="CW44" s="47"/>
      <c r="CX44" s="47"/>
      <c r="CY44" s="47" t="s">
        <v>495</v>
      </c>
      <c r="CZ44" s="47"/>
      <c r="DA44" s="47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42"/>
      <c r="DX44" s="42"/>
      <c r="DY44" s="42"/>
      <c r="DZ44" s="42"/>
      <c r="EA44" s="42"/>
    </row>
    <row r="45" customFormat="false" ht="25.5" hidden="false" customHeight="true" outlineLevel="0" collapsed="false">
      <c r="A45" s="40"/>
      <c r="B45" s="40"/>
      <c r="C45" s="40"/>
      <c r="D45" s="52" t="s">
        <v>495</v>
      </c>
      <c r="E45" s="52"/>
      <c r="F45" s="52"/>
      <c r="G45" s="48" t="s">
        <v>496</v>
      </c>
      <c r="H45" s="48"/>
      <c r="I45" s="48"/>
      <c r="J45" s="46" t="s">
        <v>497</v>
      </c>
      <c r="K45" s="46"/>
      <c r="L45" s="46"/>
      <c r="M45" s="38" t="s">
        <v>463</v>
      </c>
      <c r="N45" s="38"/>
      <c r="O45" s="38"/>
      <c r="P45" s="49" t="s">
        <v>518</v>
      </c>
      <c r="Q45" s="49"/>
      <c r="R45" s="49"/>
      <c r="S45" s="47"/>
      <c r="T45" s="47"/>
      <c r="U45" s="47"/>
      <c r="V45" s="51"/>
      <c r="W45" s="51"/>
      <c r="X45" s="51"/>
      <c r="Y45" s="49"/>
      <c r="Z45" s="49"/>
      <c r="AA45" s="49"/>
      <c r="AB45" s="46"/>
      <c r="AC45" s="46"/>
      <c r="AD45" s="46"/>
      <c r="AE45" s="48"/>
      <c r="AF45" s="48"/>
      <c r="AG45" s="48"/>
      <c r="AH45" s="50"/>
      <c r="AI45" s="50"/>
      <c r="AJ45" s="50"/>
      <c r="AK45" s="50"/>
      <c r="AL45" s="50"/>
      <c r="AM45" s="50"/>
      <c r="AN45" s="53"/>
      <c r="AO45" s="53"/>
      <c r="AP45" s="53"/>
      <c r="AQ45" s="53"/>
      <c r="AS45" s="40"/>
      <c r="AT45" s="40"/>
      <c r="AU45" s="40"/>
      <c r="AV45" s="52" t="s">
        <v>498</v>
      </c>
      <c r="AW45" s="52"/>
      <c r="AX45" s="52"/>
      <c r="AY45" s="48" t="s">
        <v>499</v>
      </c>
      <c r="AZ45" s="48"/>
      <c r="BA45" s="48"/>
      <c r="BB45" s="46" t="s">
        <v>537</v>
      </c>
      <c r="BC45" s="46"/>
      <c r="BD45" s="46"/>
      <c r="BE45" s="38" t="s">
        <v>462</v>
      </c>
      <c r="BF45" s="38"/>
      <c r="BG45" s="38"/>
      <c r="BH45" s="49" t="s">
        <v>500</v>
      </c>
      <c r="BI45" s="49"/>
      <c r="BJ45" s="49"/>
      <c r="BK45" s="49" t="s">
        <v>500</v>
      </c>
      <c r="BL45" s="49"/>
      <c r="BM45" s="49"/>
      <c r="BN45" s="51" t="s">
        <v>554</v>
      </c>
      <c r="BO45" s="51"/>
      <c r="BP45" s="51"/>
      <c r="BQ45" s="49" t="s">
        <v>538</v>
      </c>
      <c r="BR45" s="49"/>
      <c r="BS45" s="49"/>
      <c r="BT45" s="46" t="s">
        <v>539</v>
      </c>
      <c r="BU45" s="46"/>
      <c r="BV45" s="46"/>
      <c r="BW45" s="48" t="s">
        <v>469</v>
      </c>
      <c r="BX45" s="48"/>
      <c r="BY45" s="48"/>
      <c r="BZ45" s="50"/>
      <c r="CA45" s="50"/>
      <c r="CB45" s="50"/>
      <c r="CC45" s="50"/>
      <c r="CD45" s="50"/>
      <c r="CE45" s="50"/>
      <c r="CF45" s="53"/>
      <c r="CG45" s="53"/>
      <c r="CH45" s="53"/>
      <c r="CI45" s="53"/>
      <c r="CK45" s="40"/>
      <c r="CL45" s="40"/>
      <c r="CM45" s="40"/>
      <c r="CN45" s="47" t="s">
        <v>496</v>
      </c>
      <c r="CO45" s="47"/>
      <c r="CP45" s="47"/>
      <c r="CQ45" s="47" t="s">
        <v>497</v>
      </c>
      <c r="CR45" s="47"/>
      <c r="CS45" s="47"/>
      <c r="CT45" s="47" t="s">
        <v>463</v>
      </c>
      <c r="CU45" s="47"/>
      <c r="CV45" s="47"/>
      <c r="CW45" s="79"/>
      <c r="CX45" s="79"/>
      <c r="CY45" s="79"/>
      <c r="CZ45" s="47" t="s">
        <v>518</v>
      </c>
      <c r="DA45" s="47"/>
      <c r="DB45" s="47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63"/>
      <c r="DS45" s="63"/>
      <c r="DT45" s="63"/>
      <c r="DU45" s="63"/>
      <c r="DV45" s="63"/>
      <c r="DW45" s="63"/>
      <c r="DX45" s="53"/>
      <c r="DY45" s="53"/>
      <c r="DZ45" s="53"/>
      <c r="EA45" s="53"/>
    </row>
    <row r="46" customFormat="false" ht="25.5" hidden="false" customHeight="true" outlineLevel="0" collapsed="false">
      <c r="A46" s="42"/>
      <c r="B46" s="42"/>
      <c r="C46" s="42"/>
      <c r="D46" s="42"/>
      <c r="E46" s="47"/>
      <c r="F46" s="47"/>
      <c r="G46" s="47"/>
      <c r="H46" s="47" t="s">
        <v>467</v>
      </c>
      <c r="I46" s="47"/>
      <c r="J46" s="47"/>
      <c r="K46" s="47" t="s">
        <v>471</v>
      </c>
      <c r="L46" s="47"/>
      <c r="M46" s="47"/>
      <c r="N46" s="47" t="s">
        <v>502</v>
      </c>
      <c r="O46" s="47"/>
      <c r="P46" s="47"/>
      <c r="Q46" s="47" t="s">
        <v>464</v>
      </c>
      <c r="R46" s="47"/>
      <c r="S46" s="47"/>
      <c r="T46" s="47"/>
      <c r="U46" s="47"/>
      <c r="V46" s="47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50"/>
      <c r="AJ46" s="50"/>
      <c r="AK46" s="50"/>
      <c r="AL46" s="42"/>
      <c r="AM46" s="42"/>
      <c r="AN46" s="42"/>
      <c r="AO46" s="42"/>
      <c r="AP46" s="42"/>
      <c r="AQ46" s="42"/>
      <c r="AS46" s="42"/>
      <c r="AT46" s="42"/>
      <c r="AU46" s="42"/>
      <c r="AV46" s="42"/>
      <c r="AW46" s="47" t="s">
        <v>519</v>
      </c>
      <c r="AX46" s="47"/>
      <c r="AY46" s="47"/>
      <c r="AZ46" s="47" t="s">
        <v>536</v>
      </c>
      <c r="BA46" s="47"/>
      <c r="BB46" s="47"/>
      <c r="BC46" s="47" t="s">
        <v>468</v>
      </c>
      <c r="BD46" s="47"/>
      <c r="BE46" s="47"/>
      <c r="BF46" s="47" t="s">
        <v>472</v>
      </c>
      <c r="BG46" s="47"/>
      <c r="BH46" s="47"/>
      <c r="BI46" s="47" t="s">
        <v>464</v>
      </c>
      <c r="BJ46" s="47"/>
      <c r="BK46" s="47"/>
      <c r="BL46" s="47" t="s">
        <v>493</v>
      </c>
      <c r="BM46" s="47"/>
      <c r="BN46" s="47"/>
      <c r="BO46" s="49" t="s">
        <v>540</v>
      </c>
      <c r="BP46" s="49"/>
      <c r="BQ46" s="49"/>
      <c r="BR46" s="49" t="s">
        <v>523</v>
      </c>
      <c r="BS46" s="49"/>
      <c r="BT46" s="49"/>
      <c r="BU46" s="49" t="s">
        <v>524</v>
      </c>
      <c r="BV46" s="49"/>
      <c r="BW46" s="49"/>
      <c r="BX46" s="49" t="s">
        <v>525</v>
      </c>
      <c r="BY46" s="49"/>
      <c r="BZ46" s="49"/>
      <c r="CA46" s="50"/>
      <c r="CB46" s="50"/>
      <c r="CC46" s="50"/>
      <c r="CD46" s="42"/>
      <c r="CE46" s="42"/>
      <c r="CF46" s="42"/>
      <c r="CG46" s="42"/>
      <c r="CH46" s="42"/>
      <c r="CI46" s="42"/>
      <c r="CK46" s="42"/>
      <c r="CL46" s="42"/>
      <c r="CM46" s="42"/>
      <c r="CN46" s="42"/>
      <c r="CO46" s="47" t="s">
        <v>501</v>
      </c>
      <c r="CP46" s="47"/>
      <c r="CQ46" s="47"/>
      <c r="CR46" s="47" t="s">
        <v>467</v>
      </c>
      <c r="CS46" s="47"/>
      <c r="CT46" s="47"/>
      <c r="CU46" s="47" t="s">
        <v>471</v>
      </c>
      <c r="CV46" s="47"/>
      <c r="CW46" s="47"/>
      <c r="CX46" s="47" t="s">
        <v>502</v>
      </c>
      <c r="CY46" s="47"/>
      <c r="CZ46" s="47"/>
      <c r="DA46" s="47" t="s">
        <v>464</v>
      </c>
      <c r="DB46" s="47"/>
      <c r="DC46" s="47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63"/>
      <c r="DQ46" s="63"/>
      <c r="DR46" s="63"/>
      <c r="DS46" s="63"/>
      <c r="DT46" s="63"/>
      <c r="DU46" s="63"/>
      <c r="DV46" s="42"/>
      <c r="DW46" s="42"/>
      <c r="DX46" s="42"/>
      <c r="DY46" s="42"/>
      <c r="DZ46" s="42"/>
      <c r="EA46" s="42"/>
    </row>
    <row r="47" customFormat="false" ht="12.8" hidden="false" customHeight="true" outlineLevel="0" collapsed="false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63"/>
      <c r="O47" s="63"/>
      <c r="P47" s="63"/>
      <c r="Q47" s="63"/>
      <c r="R47" s="63"/>
      <c r="S47" s="63"/>
      <c r="T47" s="63"/>
      <c r="U47" s="63"/>
      <c r="V47" s="63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44"/>
      <c r="AJ47" s="44"/>
      <c r="AK47" s="44"/>
      <c r="AL47" s="34"/>
      <c r="AM47" s="34"/>
      <c r="AN47" s="34"/>
      <c r="AO47" s="44"/>
      <c r="AP47" s="44"/>
      <c r="AQ47" s="44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42" t="s">
        <v>575</v>
      </c>
      <c r="BG47" s="42"/>
      <c r="BH47" s="42"/>
      <c r="BI47" s="42"/>
      <c r="BJ47" s="42"/>
      <c r="BK47" s="42"/>
      <c r="BL47" s="42"/>
      <c r="BM47" s="42"/>
      <c r="BN47" s="42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44"/>
      <c r="CB47" s="44"/>
      <c r="CC47" s="44"/>
      <c r="CD47" s="34"/>
      <c r="CE47" s="34"/>
      <c r="CF47" s="34"/>
      <c r="CG47" s="44"/>
      <c r="CH47" s="44"/>
      <c r="CI47" s="44"/>
      <c r="CK47" s="42"/>
      <c r="CL47" s="42"/>
      <c r="CM47" s="42"/>
      <c r="CN47" s="42"/>
      <c r="CO47" s="42"/>
      <c r="CP47" s="42"/>
      <c r="CQ47" s="42"/>
      <c r="CR47" s="42"/>
      <c r="CS47" s="42"/>
      <c r="CT47" s="42"/>
      <c r="CU47" s="42"/>
      <c r="CV47" s="42"/>
      <c r="CW47" s="42"/>
      <c r="CX47" s="42" t="s">
        <v>575</v>
      </c>
      <c r="CY47" s="42"/>
      <c r="CZ47" s="42"/>
      <c r="DA47" s="42"/>
      <c r="DB47" s="42"/>
      <c r="DC47" s="42"/>
      <c r="DD47" s="42"/>
      <c r="DE47" s="42"/>
      <c r="DF47" s="42"/>
      <c r="DG47" s="37"/>
      <c r="DH47" s="37"/>
      <c r="DI47" s="37"/>
      <c r="DJ47" s="37"/>
      <c r="DK47" s="37"/>
      <c r="DL47" s="37"/>
      <c r="DM47" s="42"/>
      <c r="DN47" s="42"/>
      <c r="DO47" s="42"/>
      <c r="DP47" s="37"/>
      <c r="DQ47" s="37"/>
      <c r="DR47" s="37"/>
      <c r="DS47" s="44"/>
      <c r="DT47" s="44"/>
      <c r="DU47" s="44"/>
      <c r="DV47" s="34"/>
      <c r="DW47" s="34"/>
      <c r="DX47" s="34"/>
      <c r="DY47" s="44"/>
      <c r="DZ47" s="44"/>
      <c r="EA47" s="44"/>
    </row>
    <row r="48" customFormat="false" ht="12.8" hidden="false" customHeight="fals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63"/>
      <c r="O48" s="63"/>
      <c r="P48" s="63"/>
      <c r="Q48" s="63"/>
      <c r="R48" s="63"/>
      <c r="S48" s="63"/>
      <c r="T48" s="63"/>
      <c r="U48" s="63"/>
      <c r="V48" s="63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4"/>
      <c r="AJ48" s="34"/>
      <c r="AK48" s="34"/>
      <c r="AL48" s="34"/>
      <c r="AM48" s="34"/>
      <c r="AN48" s="34"/>
      <c r="AO48" s="34"/>
      <c r="AP48" s="34"/>
      <c r="AQ48" s="34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42"/>
      <c r="BG48" s="42"/>
      <c r="BH48" s="42"/>
      <c r="BI48" s="42"/>
      <c r="BJ48" s="42"/>
      <c r="BK48" s="42"/>
      <c r="BL48" s="42"/>
      <c r="BM48" s="42"/>
      <c r="BN48" s="42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4"/>
      <c r="CB48" s="34"/>
      <c r="CC48" s="34"/>
      <c r="CD48" s="34"/>
      <c r="CE48" s="34"/>
      <c r="CF48" s="34"/>
      <c r="CG48" s="34"/>
      <c r="CH48" s="34"/>
      <c r="CI48" s="34"/>
      <c r="CK48" s="42"/>
      <c r="CL48" s="42"/>
      <c r="CM48" s="42"/>
      <c r="CN48" s="42"/>
      <c r="CO48" s="42"/>
      <c r="CP48" s="42"/>
      <c r="CQ48" s="42"/>
      <c r="CR48" s="42"/>
      <c r="CS48" s="42"/>
      <c r="CT48" s="42"/>
      <c r="CU48" s="42"/>
      <c r="CV48" s="42"/>
      <c r="CW48" s="42"/>
      <c r="CX48" s="42"/>
      <c r="CY48" s="42"/>
      <c r="CZ48" s="42"/>
      <c r="DA48" s="42"/>
      <c r="DB48" s="42"/>
      <c r="DC48" s="42"/>
      <c r="DD48" s="42"/>
      <c r="DE48" s="42"/>
      <c r="DF48" s="42"/>
      <c r="DG48" s="37"/>
      <c r="DH48" s="37"/>
      <c r="DI48" s="37"/>
      <c r="DJ48" s="37"/>
      <c r="DK48" s="37"/>
      <c r="DL48" s="37"/>
      <c r="DM48" s="42"/>
      <c r="DN48" s="42"/>
      <c r="DO48" s="42"/>
      <c r="DP48" s="37"/>
      <c r="DQ48" s="37"/>
      <c r="DR48" s="37"/>
      <c r="DS48" s="34"/>
      <c r="DT48" s="34"/>
      <c r="DU48" s="34"/>
      <c r="DV48" s="34"/>
      <c r="DW48" s="34"/>
      <c r="DX48" s="34"/>
      <c r="DY48" s="34"/>
      <c r="DZ48" s="34"/>
      <c r="EA48" s="34"/>
    </row>
    <row r="50" customFormat="false" ht="12.8" hidden="false" customHeight="false" outlineLevel="0" collapsed="false">
      <c r="A50" s="17"/>
      <c r="B50" s="17"/>
      <c r="C50" s="17"/>
      <c r="D50" s="66"/>
      <c r="E50" s="66"/>
      <c r="F50" s="6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7"/>
      <c r="AS50" s="17"/>
    </row>
  </sheetData>
  <mergeCells count="1323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L3:CN3"/>
    <mergeCell ref="CO3:CQ3"/>
    <mergeCell ref="CR3:CT3"/>
    <mergeCell ref="CU3:CW3"/>
    <mergeCell ref="CX3:CZ3"/>
    <mergeCell ref="DA3:DC3"/>
    <mergeCell ref="DD3:DF3"/>
    <mergeCell ref="DG3:DI3"/>
    <mergeCell ref="DJ3:DL3"/>
    <mergeCell ref="DM3:DO3"/>
    <mergeCell ref="DP3:DR3"/>
    <mergeCell ref="DS3:DU3"/>
    <mergeCell ref="DV3:DX3"/>
    <mergeCell ref="DY3:EA3"/>
    <mergeCell ref="A4:B4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Q4"/>
    <mergeCell ref="AS4:AT4"/>
    <mergeCell ref="AU4:AW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BY4:CA4"/>
    <mergeCell ref="CB4:CD4"/>
    <mergeCell ref="CE4:CI4"/>
    <mergeCell ref="CK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DQ4:DS4"/>
    <mergeCell ref="DT4:DV4"/>
    <mergeCell ref="DW4:EA4"/>
    <mergeCell ref="A5:C5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Q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BT5:BV5"/>
    <mergeCell ref="BW5:BY5"/>
    <mergeCell ref="BZ5:CB5"/>
    <mergeCell ref="CC5:CE5"/>
    <mergeCell ref="CF5:CI5"/>
    <mergeCell ref="CK5:CM5"/>
    <mergeCell ref="CN5:CP5"/>
    <mergeCell ref="CQ5:CS5"/>
    <mergeCell ref="CT5:CV5"/>
    <mergeCell ref="CW5:CY5"/>
    <mergeCell ref="CZ5:DB5"/>
    <mergeCell ref="DC5:DE5"/>
    <mergeCell ref="DF5:DH5"/>
    <mergeCell ref="DI5:DK5"/>
    <mergeCell ref="DL5:DN5"/>
    <mergeCell ref="DO5:DQ5"/>
    <mergeCell ref="DR5:DT5"/>
    <mergeCell ref="DU5:DW5"/>
    <mergeCell ref="DX5:EA5"/>
    <mergeCell ref="A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Q6"/>
    <mergeCell ref="AS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I6"/>
    <mergeCell ref="CK6:CN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DP6:DR6"/>
    <mergeCell ref="DS6:DU6"/>
    <mergeCell ref="DV6:EA6"/>
    <mergeCell ref="A7:A8"/>
    <mergeCell ref="B7:D8"/>
    <mergeCell ref="E7:G8"/>
    <mergeCell ref="H7:J8"/>
    <mergeCell ref="K7:M8"/>
    <mergeCell ref="N7:V8"/>
    <mergeCell ref="W7:Y8"/>
    <mergeCell ref="Z7:AB8"/>
    <mergeCell ref="AC7:AE8"/>
    <mergeCell ref="AF7:AH8"/>
    <mergeCell ref="AI7:AK7"/>
    <mergeCell ref="AL7:AN7"/>
    <mergeCell ref="AS7:AS8"/>
    <mergeCell ref="AT7:AV8"/>
    <mergeCell ref="AW7:AY8"/>
    <mergeCell ref="AZ7:BB8"/>
    <mergeCell ref="BC7:BE8"/>
    <mergeCell ref="BF7:BN8"/>
    <mergeCell ref="BO7:BQ8"/>
    <mergeCell ref="BR7:BT8"/>
    <mergeCell ref="BU7:BW8"/>
    <mergeCell ref="BX7:BZ8"/>
    <mergeCell ref="CA7:CC7"/>
    <mergeCell ref="CD7:CF7"/>
    <mergeCell ref="CK7:CK8"/>
    <mergeCell ref="CL7:CN8"/>
    <mergeCell ref="CO7:CQ8"/>
    <mergeCell ref="CR7:CT8"/>
    <mergeCell ref="CU7:CW8"/>
    <mergeCell ref="CX7:DF8"/>
    <mergeCell ref="DG7:DI8"/>
    <mergeCell ref="DJ7:DL8"/>
    <mergeCell ref="DM7:DO8"/>
    <mergeCell ref="DP7:DR8"/>
    <mergeCell ref="DS7:DU7"/>
    <mergeCell ref="DV7:DX7"/>
    <mergeCell ref="AI8:AK8"/>
    <mergeCell ref="AL8:AN8"/>
    <mergeCell ref="AO8:AQ8"/>
    <mergeCell ref="CA8:CC8"/>
    <mergeCell ref="CD8:CF8"/>
    <mergeCell ref="CG8:CI8"/>
    <mergeCell ref="DS8:DU8"/>
    <mergeCell ref="DV8:DX8"/>
    <mergeCell ref="DY8:EA8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AT11:AV11"/>
    <mergeCell ref="AW11:AY11"/>
    <mergeCell ref="AZ11:BB11"/>
    <mergeCell ref="BC11:BE11"/>
    <mergeCell ref="BF11:BH11"/>
    <mergeCell ref="BI11:BK11"/>
    <mergeCell ref="BL11:BN11"/>
    <mergeCell ref="BO11:BQ11"/>
    <mergeCell ref="BR11:BT11"/>
    <mergeCell ref="BU11:BW11"/>
    <mergeCell ref="BX11:BZ11"/>
    <mergeCell ref="CA11:CC11"/>
    <mergeCell ref="CD11:CF11"/>
    <mergeCell ref="CG11:CI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Q12"/>
    <mergeCell ref="AS12:AT12"/>
    <mergeCell ref="AU12:AW12"/>
    <mergeCell ref="AX12:AZ12"/>
    <mergeCell ref="BA12:BC12"/>
    <mergeCell ref="BD12:BF12"/>
    <mergeCell ref="BG12:BI12"/>
    <mergeCell ref="BJ12:BL12"/>
    <mergeCell ref="BM12:BO12"/>
    <mergeCell ref="BP12:BR12"/>
    <mergeCell ref="BS12:BU12"/>
    <mergeCell ref="BV12:BX12"/>
    <mergeCell ref="BY12:CA12"/>
    <mergeCell ref="CB12:CD12"/>
    <mergeCell ref="CE12:CI12"/>
    <mergeCell ref="CK12:CL12"/>
    <mergeCell ref="CM12:CO12"/>
    <mergeCell ref="CP12:CR12"/>
    <mergeCell ref="CS12:CU12"/>
    <mergeCell ref="CV12:CX12"/>
    <mergeCell ref="CY12:DA12"/>
    <mergeCell ref="DB12:DD12"/>
    <mergeCell ref="DE12:DG12"/>
    <mergeCell ref="DH12:DJ12"/>
    <mergeCell ref="DK12:DM12"/>
    <mergeCell ref="DN12:DP12"/>
    <mergeCell ref="DQ12:DS12"/>
    <mergeCell ref="DT12:DV12"/>
    <mergeCell ref="DW12:EA12"/>
    <mergeCell ref="A13:C13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G13"/>
    <mergeCell ref="AH13:AJ13"/>
    <mergeCell ref="AK13:AM13"/>
    <mergeCell ref="AN13:AQ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I13"/>
    <mergeCell ref="CK13:CM13"/>
    <mergeCell ref="CN13:CP13"/>
    <mergeCell ref="CQ13:CS13"/>
    <mergeCell ref="CT13:CV13"/>
    <mergeCell ref="CW13:CY13"/>
    <mergeCell ref="CZ13:DB13"/>
    <mergeCell ref="DC13:DE13"/>
    <mergeCell ref="DF13:DH13"/>
    <mergeCell ref="DI13:DK13"/>
    <mergeCell ref="DL13:DN13"/>
    <mergeCell ref="DO13:DQ13"/>
    <mergeCell ref="DR13:DT13"/>
    <mergeCell ref="DU13:DW13"/>
    <mergeCell ref="DX13:EA13"/>
    <mergeCell ref="A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  <mergeCell ref="AL14:AQ14"/>
    <mergeCell ref="AS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W14"/>
    <mergeCell ref="BX14:BZ14"/>
    <mergeCell ref="CA14:CC14"/>
    <mergeCell ref="CD14:CI14"/>
    <mergeCell ref="CK14:CN14"/>
    <mergeCell ref="CO14:CQ14"/>
    <mergeCell ref="CR14:CT14"/>
    <mergeCell ref="CU14:CW14"/>
    <mergeCell ref="CX14:CZ14"/>
    <mergeCell ref="DA14:DC14"/>
    <mergeCell ref="DD14:DF14"/>
    <mergeCell ref="DG14:DI14"/>
    <mergeCell ref="DJ14:DL14"/>
    <mergeCell ref="DM14:DO14"/>
    <mergeCell ref="DP14:DR14"/>
    <mergeCell ref="DS14:DU14"/>
    <mergeCell ref="DV14:EA14"/>
    <mergeCell ref="A15:A16"/>
    <mergeCell ref="B15:D16"/>
    <mergeCell ref="E15:G16"/>
    <mergeCell ref="H15:J16"/>
    <mergeCell ref="K15:M16"/>
    <mergeCell ref="N15:V16"/>
    <mergeCell ref="W15:Y16"/>
    <mergeCell ref="Z15:AB16"/>
    <mergeCell ref="AC15:AE16"/>
    <mergeCell ref="AF15:AH16"/>
    <mergeCell ref="AI15:AK15"/>
    <mergeCell ref="AL15:AN15"/>
    <mergeCell ref="AS15:AS16"/>
    <mergeCell ref="AT15:AV16"/>
    <mergeCell ref="AW15:AY16"/>
    <mergeCell ref="AZ15:BB16"/>
    <mergeCell ref="BC15:BE16"/>
    <mergeCell ref="BF15:BN16"/>
    <mergeCell ref="BO15:BQ16"/>
    <mergeCell ref="BR15:BT16"/>
    <mergeCell ref="BU15:BW16"/>
    <mergeCell ref="BX15:BZ16"/>
    <mergeCell ref="CA15:CC15"/>
    <mergeCell ref="CD15:CF15"/>
    <mergeCell ref="CK15:CK16"/>
    <mergeCell ref="CL15:CN16"/>
    <mergeCell ref="CO15:CQ16"/>
    <mergeCell ref="CR15:CT16"/>
    <mergeCell ref="CU15:CW16"/>
    <mergeCell ref="CX15:DF16"/>
    <mergeCell ref="DG15:DI16"/>
    <mergeCell ref="DJ15:DL16"/>
    <mergeCell ref="DM15:DO16"/>
    <mergeCell ref="DP15:DR16"/>
    <mergeCell ref="DS15:DU15"/>
    <mergeCell ref="DV15:DX15"/>
    <mergeCell ref="AI16:AK16"/>
    <mergeCell ref="AL16:AN16"/>
    <mergeCell ref="AO16:AQ16"/>
    <mergeCell ref="CA16:CC16"/>
    <mergeCell ref="CD16:CF16"/>
    <mergeCell ref="CG16:CI16"/>
    <mergeCell ref="DS16:DU16"/>
    <mergeCell ref="DV16:DX16"/>
    <mergeCell ref="DY16:EA16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A19:CC19"/>
    <mergeCell ref="CD19:CF19"/>
    <mergeCell ref="CG19:CI19"/>
    <mergeCell ref="CL19:CN19"/>
    <mergeCell ref="CO19:CQ19"/>
    <mergeCell ref="CR19:CT19"/>
    <mergeCell ref="CU19:CW19"/>
    <mergeCell ref="CX19:CZ19"/>
    <mergeCell ref="DA19:DC19"/>
    <mergeCell ref="DD19:DF19"/>
    <mergeCell ref="DG19:DI19"/>
    <mergeCell ref="DJ19:DL19"/>
    <mergeCell ref="DM19:DO19"/>
    <mergeCell ref="DP19:DR19"/>
    <mergeCell ref="DS19:DU19"/>
    <mergeCell ref="DV19:DX19"/>
    <mergeCell ref="DY19:EA19"/>
    <mergeCell ref="A20:B20"/>
    <mergeCell ref="C20:E20"/>
    <mergeCell ref="F20:H20"/>
    <mergeCell ref="I20:K20"/>
    <mergeCell ref="L20:N20"/>
    <mergeCell ref="O20:Q20"/>
    <mergeCell ref="R20:T20"/>
    <mergeCell ref="U20:W20"/>
    <mergeCell ref="X20:Z20"/>
    <mergeCell ref="AA20:AC20"/>
    <mergeCell ref="AD20:AF20"/>
    <mergeCell ref="AG20:AI20"/>
    <mergeCell ref="AJ20:AL20"/>
    <mergeCell ref="AM20:AQ20"/>
    <mergeCell ref="AS20:AT20"/>
    <mergeCell ref="AU20:AW20"/>
    <mergeCell ref="AX20:AZ20"/>
    <mergeCell ref="BA20:BC20"/>
    <mergeCell ref="BD20:BF20"/>
    <mergeCell ref="BG20:BI20"/>
    <mergeCell ref="BJ20:BL20"/>
    <mergeCell ref="BM20:BO20"/>
    <mergeCell ref="BP20:BR20"/>
    <mergeCell ref="BS20:BU20"/>
    <mergeCell ref="BV20:BX20"/>
    <mergeCell ref="BY20:CA20"/>
    <mergeCell ref="CB20:CD20"/>
    <mergeCell ref="CE20:CI20"/>
    <mergeCell ref="CK20:CL20"/>
    <mergeCell ref="CM20:CO20"/>
    <mergeCell ref="CP20:CR20"/>
    <mergeCell ref="CS20:CU20"/>
    <mergeCell ref="CV20:CX20"/>
    <mergeCell ref="CY20:DA20"/>
    <mergeCell ref="DB20:DD20"/>
    <mergeCell ref="DE20:DG20"/>
    <mergeCell ref="DH20:DJ20"/>
    <mergeCell ref="DK20:DM20"/>
    <mergeCell ref="DN20:DP20"/>
    <mergeCell ref="DQ20:DS20"/>
    <mergeCell ref="DT20:DV20"/>
    <mergeCell ref="DW20:EA20"/>
    <mergeCell ref="A21:C21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Q21"/>
    <mergeCell ref="AS21:AU21"/>
    <mergeCell ref="AV21:AX21"/>
    <mergeCell ref="AY21:BA21"/>
    <mergeCell ref="BB21:BD21"/>
    <mergeCell ref="BE21:BG21"/>
    <mergeCell ref="BH21:BJ21"/>
    <mergeCell ref="BK21:BM21"/>
    <mergeCell ref="BN21:BP21"/>
    <mergeCell ref="BQ21:BS21"/>
    <mergeCell ref="BT21:BV21"/>
    <mergeCell ref="BW21:BY21"/>
    <mergeCell ref="BZ21:CB21"/>
    <mergeCell ref="CC21:CE21"/>
    <mergeCell ref="CF21:CI21"/>
    <mergeCell ref="CK21:CM21"/>
    <mergeCell ref="CN21:CP21"/>
    <mergeCell ref="CQ21:CS21"/>
    <mergeCell ref="CT21:CV21"/>
    <mergeCell ref="CW21:CY21"/>
    <mergeCell ref="CZ21:DB21"/>
    <mergeCell ref="DC21:DE21"/>
    <mergeCell ref="DF21:DH21"/>
    <mergeCell ref="DI21:DK21"/>
    <mergeCell ref="DL21:DN21"/>
    <mergeCell ref="DO21:DQ21"/>
    <mergeCell ref="DR21:DT21"/>
    <mergeCell ref="DU21:DW21"/>
    <mergeCell ref="DX21:EA21"/>
    <mergeCell ref="A22:D22"/>
    <mergeCell ref="E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Q22"/>
    <mergeCell ref="AS22:AV22"/>
    <mergeCell ref="AW22:AY22"/>
    <mergeCell ref="AZ22:BB22"/>
    <mergeCell ref="BC22:BE22"/>
    <mergeCell ref="BF22:BH22"/>
    <mergeCell ref="BI22:BK22"/>
    <mergeCell ref="BL22:BN22"/>
    <mergeCell ref="BO22:BQ22"/>
    <mergeCell ref="BR22:BT22"/>
    <mergeCell ref="BU22:BW22"/>
    <mergeCell ref="BX22:BZ22"/>
    <mergeCell ref="CA22:CC22"/>
    <mergeCell ref="CD22:CI22"/>
    <mergeCell ref="CK22:CN22"/>
    <mergeCell ref="CO22:CQ22"/>
    <mergeCell ref="CR22:CT22"/>
    <mergeCell ref="CU22:CW22"/>
    <mergeCell ref="CX22:CZ22"/>
    <mergeCell ref="DA22:DC22"/>
    <mergeCell ref="DD22:DF22"/>
    <mergeCell ref="DG22:DI22"/>
    <mergeCell ref="DJ22:DL22"/>
    <mergeCell ref="DM22:DO22"/>
    <mergeCell ref="DP22:DR22"/>
    <mergeCell ref="DS22:DU22"/>
    <mergeCell ref="DV22:EA22"/>
    <mergeCell ref="A23:A24"/>
    <mergeCell ref="B23:D24"/>
    <mergeCell ref="E23:G24"/>
    <mergeCell ref="H23:J24"/>
    <mergeCell ref="K23:M24"/>
    <mergeCell ref="N23:V24"/>
    <mergeCell ref="W23:Y24"/>
    <mergeCell ref="Z23:AB24"/>
    <mergeCell ref="AC23:AE24"/>
    <mergeCell ref="AF23:AH24"/>
    <mergeCell ref="AI23:AK23"/>
    <mergeCell ref="AL23:AN23"/>
    <mergeCell ref="AS23:AS24"/>
    <mergeCell ref="AT23:AV24"/>
    <mergeCell ref="AW23:AY24"/>
    <mergeCell ref="AZ23:BB24"/>
    <mergeCell ref="BC23:BE24"/>
    <mergeCell ref="BF23:BN24"/>
    <mergeCell ref="BO23:BQ24"/>
    <mergeCell ref="BR23:BT24"/>
    <mergeCell ref="BU23:BW24"/>
    <mergeCell ref="BX23:BZ24"/>
    <mergeCell ref="CA23:CC23"/>
    <mergeCell ref="CD23:CF23"/>
    <mergeCell ref="CK23:CK24"/>
    <mergeCell ref="CL23:CN24"/>
    <mergeCell ref="CO23:CQ24"/>
    <mergeCell ref="CR23:CT24"/>
    <mergeCell ref="CU23:CW24"/>
    <mergeCell ref="CX23:DF24"/>
    <mergeCell ref="DG23:DI24"/>
    <mergeCell ref="DJ23:DL24"/>
    <mergeCell ref="DM23:DO24"/>
    <mergeCell ref="DP23:DR24"/>
    <mergeCell ref="DS23:DU23"/>
    <mergeCell ref="DV23:DX23"/>
    <mergeCell ref="AI24:AK24"/>
    <mergeCell ref="AL24:AN24"/>
    <mergeCell ref="AO24:AQ24"/>
    <mergeCell ref="CA24:CC24"/>
    <mergeCell ref="CD24:CF24"/>
    <mergeCell ref="CG24:CI24"/>
    <mergeCell ref="DS24:DU24"/>
    <mergeCell ref="DV24:DX24"/>
    <mergeCell ref="DY24:EA24"/>
    <mergeCell ref="B27:D27"/>
    <mergeCell ref="E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7:AH27"/>
    <mergeCell ref="AI27:AK27"/>
    <mergeCell ref="AL27:AN27"/>
    <mergeCell ref="AO27:AQ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CG27:CI27"/>
    <mergeCell ref="CL27:CN27"/>
    <mergeCell ref="CO27:CQ27"/>
    <mergeCell ref="CR27:CT27"/>
    <mergeCell ref="CU27:CW27"/>
    <mergeCell ref="CX27:CZ27"/>
    <mergeCell ref="DA27:DC27"/>
    <mergeCell ref="DD27:DF27"/>
    <mergeCell ref="DG27:DI27"/>
    <mergeCell ref="DJ27:DL27"/>
    <mergeCell ref="DM27:DO27"/>
    <mergeCell ref="DP27:DR27"/>
    <mergeCell ref="DS27:DU27"/>
    <mergeCell ref="DV27:DX27"/>
    <mergeCell ref="DY27:EA27"/>
    <mergeCell ref="A28:B28"/>
    <mergeCell ref="C28:E28"/>
    <mergeCell ref="F28:H28"/>
    <mergeCell ref="I28:K28"/>
    <mergeCell ref="L28:N28"/>
    <mergeCell ref="O28:Q28"/>
    <mergeCell ref="R28:T28"/>
    <mergeCell ref="U28:W28"/>
    <mergeCell ref="X28:Z28"/>
    <mergeCell ref="AA28:AC28"/>
    <mergeCell ref="AD28:AF28"/>
    <mergeCell ref="AG28:AI28"/>
    <mergeCell ref="AJ28:AL28"/>
    <mergeCell ref="AM28:AQ28"/>
    <mergeCell ref="AS28:AT28"/>
    <mergeCell ref="AU28:AW28"/>
    <mergeCell ref="AX28:AZ28"/>
    <mergeCell ref="BA28:BC28"/>
    <mergeCell ref="BD28:BF28"/>
    <mergeCell ref="BG28:BI28"/>
    <mergeCell ref="BJ28:BL28"/>
    <mergeCell ref="BM28:BO28"/>
    <mergeCell ref="BP28:BR28"/>
    <mergeCell ref="BS28:BU28"/>
    <mergeCell ref="BV28:BX28"/>
    <mergeCell ref="BY28:CA28"/>
    <mergeCell ref="CB28:CD28"/>
    <mergeCell ref="CE28:CI28"/>
    <mergeCell ref="CK28:CL28"/>
    <mergeCell ref="CM28:CO28"/>
    <mergeCell ref="CP28:CR28"/>
    <mergeCell ref="CS28:CU28"/>
    <mergeCell ref="CV28:CX28"/>
    <mergeCell ref="CY28:DA28"/>
    <mergeCell ref="DB28:DD28"/>
    <mergeCell ref="DE28:DG28"/>
    <mergeCell ref="DH28:DJ28"/>
    <mergeCell ref="DK28:DM28"/>
    <mergeCell ref="DN28:DP28"/>
    <mergeCell ref="DQ28:DS28"/>
    <mergeCell ref="DT28:DV28"/>
    <mergeCell ref="DW28:EA28"/>
    <mergeCell ref="A29:C29"/>
    <mergeCell ref="D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K29:AM29"/>
    <mergeCell ref="AN29:AQ29"/>
    <mergeCell ref="AS29:AU29"/>
    <mergeCell ref="AV29:AX29"/>
    <mergeCell ref="AY29:BA29"/>
    <mergeCell ref="BB29:BD29"/>
    <mergeCell ref="BE29:BG29"/>
    <mergeCell ref="BH29:BJ29"/>
    <mergeCell ref="BK29:BM29"/>
    <mergeCell ref="BN29:BP29"/>
    <mergeCell ref="BQ29:BS29"/>
    <mergeCell ref="BT29:BV29"/>
    <mergeCell ref="BW29:BY29"/>
    <mergeCell ref="BZ29:CB29"/>
    <mergeCell ref="CC29:CE29"/>
    <mergeCell ref="CF29:CI29"/>
    <mergeCell ref="CK29:CM29"/>
    <mergeCell ref="CN29:CP29"/>
    <mergeCell ref="CQ29:CS29"/>
    <mergeCell ref="CT29:CV29"/>
    <mergeCell ref="CW29:CY29"/>
    <mergeCell ref="CZ29:DB29"/>
    <mergeCell ref="DC29:DE29"/>
    <mergeCell ref="DF29:DH29"/>
    <mergeCell ref="DI29:DK29"/>
    <mergeCell ref="DL29:DN29"/>
    <mergeCell ref="DO29:DQ29"/>
    <mergeCell ref="DR29:DT29"/>
    <mergeCell ref="DU29:DW29"/>
    <mergeCell ref="DX29:EA29"/>
    <mergeCell ref="A30:D30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Q30"/>
    <mergeCell ref="AS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I30"/>
    <mergeCell ref="CK30:CN30"/>
    <mergeCell ref="CO30:CQ30"/>
    <mergeCell ref="CR30:CT30"/>
    <mergeCell ref="CU30:CW30"/>
    <mergeCell ref="CX30:CZ30"/>
    <mergeCell ref="DA30:DC30"/>
    <mergeCell ref="DD30:DF30"/>
    <mergeCell ref="DG30:DI30"/>
    <mergeCell ref="DJ30:DL30"/>
    <mergeCell ref="DM30:DO30"/>
    <mergeCell ref="DP30:DR30"/>
    <mergeCell ref="DS30:DU30"/>
    <mergeCell ref="DV30:EA30"/>
    <mergeCell ref="A31:A32"/>
    <mergeCell ref="B31:D32"/>
    <mergeCell ref="E31:G32"/>
    <mergeCell ref="H31:J32"/>
    <mergeCell ref="K31:M32"/>
    <mergeCell ref="N31:V32"/>
    <mergeCell ref="W31:Y32"/>
    <mergeCell ref="Z31:AB32"/>
    <mergeCell ref="AC31:AE32"/>
    <mergeCell ref="AF31:AH32"/>
    <mergeCell ref="AI31:AK31"/>
    <mergeCell ref="AL31:AN31"/>
    <mergeCell ref="AS31:AS32"/>
    <mergeCell ref="AT31:AV32"/>
    <mergeCell ref="AW31:AY32"/>
    <mergeCell ref="AZ31:BB32"/>
    <mergeCell ref="BC31:BE32"/>
    <mergeCell ref="BF31:BN32"/>
    <mergeCell ref="BO31:BQ32"/>
    <mergeCell ref="BR31:BT32"/>
    <mergeCell ref="BU31:BW32"/>
    <mergeCell ref="BX31:BZ32"/>
    <mergeCell ref="CA31:CC31"/>
    <mergeCell ref="CD31:CF31"/>
    <mergeCell ref="CK31:CK32"/>
    <mergeCell ref="CL31:CN32"/>
    <mergeCell ref="CO31:CQ32"/>
    <mergeCell ref="CR31:CT32"/>
    <mergeCell ref="CU31:CW32"/>
    <mergeCell ref="CX31:DF32"/>
    <mergeCell ref="DG31:DI32"/>
    <mergeCell ref="DJ31:DL32"/>
    <mergeCell ref="DM31:DO32"/>
    <mergeCell ref="DP31:DR32"/>
    <mergeCell ref="DS31:DU31"/>
    <mergeCell ref="DV31:DX31"/>
    <mergeCell ref="AI32:AK32"/>
    <mergeCell ref="AL32:AN32"/>
    <mergeCell ref="AO32:AQ32"/>
    <mergeCell ref="CA32:CC32"/>
    <mergeCell ref="CD32:CF32"/>
    <mergeCell ref="CG32:CI32"/>
    <mergeCell ref="DS32:DU32"/>
    <mergeCell ref="DV32:DX32"/>
    <mergeCell ref="DY32:EA32"/>
    <mergeCell ref="B35:D35"/>
    <mergeCell ref="E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5:AH35"/>
    <mergeCell ref="AI35:AK35"/>
    <mergeCell ref="AL35:AN35"/>
    <mergeCell ref="AO35:AQ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CA35:CC35"/>
    <mergeCell ref="CD35:CF35"/>
    <mergeCell ref="CG35:CI35"/>
    <mergeCell ref="CL35:CN35"/>
    <mergeCell ref="CO35:CQ35"/>
    <mergeCell ref="CR35:CT35"/>
    <mergeCell ref="CU35:CW35"/>
    <mergeCell ref="CX35:CZ35"/>
    <mergeCell ref="DA35:DC35"/>
    <mergeCell ref="DD35:DF35"/>
    <mergeCell ref="DG35:DI35"/>
    <mergeCell ref="DJ35:DL35"/>
    <mergeCell ref="DM35:DO35"/>
    <mergeCell ref="DP35:DR35"/>
    <mergeCell ref="DS35:DU35"/>
    <mergeCell ref="DV35:DX35"/>
    <mergeCell ref="DY35:EA35"/>
    <mergeCell ref="A36:B36"/>
    <mergeCell ref="C36:E36"/>
    <mergeCell ref="F36:H36"/>
    <mergeCell ref="I36:K36"/>
    <mergeCell ref="L36:N36"/>
    <mergeCell ref="O36:Q36"/>
    <mergeCell ref="R36:T36"/>
    <mergeCell ref="U36:W36"/>
    <mergeCell ref="X36:Z36"/>
    <mergeCell ref="AA36:AC36"/>
    <mergeCell ref="AD36:AF36"/>
    <mergeCell ref="AG36:AI36"/>
    <mergeCell ref="AJ36:AL36"/>
    <mergeCell ref="AM36:AQ36"/>
    <mergeCell ref="AS36:AT36"/>
    <mergeCell ref="AU36:AW36"/>
    <mergeCell ref="AX36:AZ36"/>
    <mergeCell ref="BA36:BC36"/>
    <mergeCell ref="BD36:BF36"/>
    <mergeCell ref="BG36:BI36"/>
    <mergeCell ref="BJ36:BL36"/>
    <mergeCell ref="BM36:BO36"/>
    <mergeCell ref="BP36:BR36"/>
    <mergeCell ref="BS36:BU36"/>
    <mergeCell ref="BV36:BX36"/>
    <mergeCell ref="BY36:CA36"/>
    <mergeCell ref="CB36:CD36"/>
    <mergeCell ref="CE36:CI36"/>
    <mergeCell ref="CK36:CL36"/>
    <mergeCell ref="CM36:CO36"/>
    <mergeCell ref="CP36:CR36"/>
    <mergeCell ref="CS36:CU36"/>
    <mergeCell ref="CV36:CX36"/>
    <mergeCell ref="CY36:DA36"/>
    <mergeCell ref="DB36:DD36"/>
    <mergeCell ref="DE36:DG36"/>
    <mergeCell ref="DH36:DJ36"/>
    <mergeCell ref="DK36:DM36"/>
    <mergeCell ref="DN36:DP36"/>
    <mergeCell ref="DQ36:DS36"/>
    <mergeCell ref="DT36:DV36"/>
    <mergeCell ref="DW36:EA36"/>
    <mergeCell ref="A37:C37"/>
    <mergeCell ref="D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AE37:AG37"/>
    <mergeCell ref="AH37:AJ37"/>
    <mergeCell ref="AK37:AM37"/>
    <mergeCell ref="AN37:AQ37"/>
    <mergeCell ref="AS37:AU37"/>
    <mergeCell ref="AV37:AX37"/>
    <mergeCell ref="AY37:BA37"/>
    <mergeCell ref="BB37:BD37"/>
    <mergeCell ref="BE37:BG37"/>
    <mergeCell ref="BH37:BJ37"/>
    <mergeCell ref="BK37:BM37"/>
    <mergeCell ref="BN37:BP37"/>
    <mergeCell ref="BQ37:BS37"/>
    <mergeCell ref="BT37:BV37"/>
    <mergeCell ref="BW37:BY37"/>
    <mergeCell ref="BZ37:CB37"/>
    <mergeCell ref="CC37:CE37"/>
    <mergeCell ref="CF37:CI37"/>
    <mergeCell ref="CK37:CM37"/>
    <mergeCell ref="CN37:CP37"/>
    <mergeCell ref="CQ37:CS37"/>
    <mergeCell ref="CT37:CV37"/>
    <mergeCell ref="CW37:CY37"/>
    <mergeCell ref="CZ37:DB37"/>
    <mergeCell ref="DC37:DE37"/>
    <mergeCell ref="DF37:DH37"/>
    <mergeCell ref="DI37:DK37"/>
    <mergeCell ref="DL37:DN37"/>
    <mergeCell ref="DO37:DQ37"/>
    <mergeCell ref="DR37:DT37"/>
    <mergeCell ref="DU37:DW37"/>
    <mergeCell ref="DX37:EA37"/>
    <mergeCell ref="A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AL38:AQ38"/>
    <mergeCell ref="AS38:AV38"/>
    <mergeCell ref="AW38:AY38"/>
    <mergeCell ref="AZ38:BB38"/>
    <mergeCell ref="BC38:BE38"/>
    <mergeCell ref="BF38:BH38"/>
    <mergeCell ref="BI38:BK38"/>
    <mergeCell ref="BL38:BN38"/>
    <mergeCell ref="BO38:BQ38"/>
    <mergeCell ref="BR38:BT38"/>
    <mergeCell ref="BU38:BW38"/>
    <mergeCell ref="BX38:BZ38"/>
    <mergeCell ref="CA38:CC38"/>
    <mergeCell ref="CD38:CI38"/>
    <mergeCell ref="CK38:CN38"/>
    <mergeCell ref="CO38:CQ38"/>
    <mergeCell ref="CR38:CT38"/>
    <mergeCell ref="CU38:CW38"/>
    <mergeCell ref="CX38:CZ38"/>
    <mergeCell ref="DA38:DC38"/>
    <mergeCell ref="DD38:DF38"/>
    <mergeCell ref="DG38:DI38"/>
    <mergeCell ref="DJ38:DL38"/>
    <mergeCell ref="DM38:DO38"/>
    <mergeCell ref="DP38:DR38"/>
    <mergeCell ref="DS38:DU38"/>
    <mergeCell ref="DV38:EA38"/>
    <mergeCell ref="A39:A40"/>
    <mergeCell ref="B39:D40"/>
    <mergeCell ref="E39:G40"/>
    <mergeCell ref="H39:J40"/>
    <mergeCell ref="K39:M40"/>
    <mergeCell ref="N39:V40"/>
    <mergeCell ref="W39:Y40"/>
    <mergeCell ref="Z39:AB40"/>
    <mergeCell ref="AC39:AE40"/>
    <mergeCell ref="AF39:AH40"/>
    <mergeCell ref="AI39:AK39"/>
    <mergeCell ref="AL39:AN39"/>
    <mergeCell ref="AS39:AS40"/>
    <mergeCell ref="AT39:AV40"/>
    <mergeCell ref="AW39:AY40"/>
    <mergeCell ref="AZ39:BB40"/>
    <mergeCell ref="BC39:BE40"/>
    <mergeCell ref="BF39:BN40"/>
    <mergeCell ref="BO39:BQ40"/>
    <mergeCell ref="BR39:BT40"/>
    <mergeCell ref="BU39:BW40"/>
    <mergeCell ref="BX39:BZ40"/>
    <mergeCell ref="CA39:CC39"/>
    <mergeCell ref="CD39:CF39"/>
    <mergeCell ref="CK39:CK40"/>
    <mergeCell ref="CL39:CN40"/>
    <mergeCell ref="CO39:CQ40"/>
    <mergeCell ref="CR39:CT40"/>
    <mergeCell ref="CU39:CW40"/>
    <mergeCell ref="CX39:DF40"/>
    <mergeCell ref="DG39:DI40"/>
    <mergeCell ref="DJ39:DL40"/>
    <mergeCell ref="DM39:DO40"/>
    <mergeCell ref="DP39:DR40"/>
    <mergeCell ref="DS39:DU39"/>
    <mergeCell ref="DV39:DX39"/>
    <mergeCell ref="AI40:AK40"/>
    <mergeCell ref="AL40:AN40"/>
    <mergeCell ref="AO40:AQ40"/>
    <mergeCell ref="CA40:CC40"/>
    <mergeCell ref="CD40:CF40"/>
    <mergeCell ref="CG40:CI40"/>
    <mergeCell ref="DS40:DU40"/>
    <mergeCell ref="DV40:DX40"/>
    <mergeCell ref="DY40:EA40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AC43:AE43"/>
    <mergeCell ref="AF43:AH43"/>
    <mergeCell ref="AI43:AK43"/>
    <mergeCell ref="AL43:AN43"/>
    <mergeCell ref="AO43:AQ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C43"/>
    <mergeCell ref="CD43:CF43"/>
    <mergeCell ref="CG43:CI43"/>
    <mergeCell ref="CL43:CN43"/>
    <mergeCell ref="CO43:CQ43"/>
    <mergeCell ref="CR43:CT43"/>
    <mergeCell ref="CU43:CW43"/>
    <mergeCell ref="CX43:CZ43"/>
    <mergeCell ref="DA43:DC43"/>
    <mergeCell ref="DD43:DF43"/>
    <mergeCell ref="DG43:DI43"/>
    <mergeCell ref="DJ43:DL43"/>
    <mergeCell ref="DM43:DO43"/>
    <mergeCell ref="DP43:DR43"/>
    <mergeCell ref="DS43:DU43"/>
    <mergeCell ref="DV43:DX43"/>
    <mergeCell ref="DY43:EA43"/>
    <mergeCell ref="A44:B44"/>
    <mergeCell ref="C44:E44"/>
    <mergeCell ref="F44:H44"/>
    <mergeCell ref="I44:K44"/>
    <mergeCell ref="L44:N44"/>
    <mergeCell ref="O44:Q44"/>
    <mergeCell ref="R44:T44"/>
    <mergeCell ref="U44:W44"/>
    <mergeCell ref="X44:Z44"/>
    <mergeCell ref="AA44:AC44"/>
    <mergeCell ref="AD44:AF44"/>
    <mergeCell ref="AG44:AI44"/>
    <mergeCell ref="AJ44:AL44"/>
    <mergeCell ref="AM44:AQ44"/>
    <mergeCell ref="AS44:AT44"/>
    <mergeCell ref="AU44:AW44"/>
    <mergeCell ref="AX44:AZ44"/>
    <mergeCell ref="BA44:BC44"/>
    <mergeCell ref="BD44:BF44"/>
    <mergeCell ref="BG44:BI44"/>
    <mergeCell ref="BJ44:BL44"/>
    <mergeCell ref="BM44:BO44"/>
    <mergeCell ref="BP44:BR44"/>
    <mergeCell ref="BS44:BU44"/>
    <mergeCell ref="BV44:BX44"/>
    <mergeCell ref="BY44:CA44"/>
    <mergeCell ref="CB44:CD44"/>
    <mergeCell ref="CE44:CI44"/>
    <mergeCell ref="CK44:CL44"/>
    <mergeCell ref="CM44:CO44"/>
    <mergeCell ref="CP44:CR44"/>
    <mergeCell ref="CS44:CU44"/>
    <mergeCell ref="CV44:CX44"/>
    <mergeCell ref="CY44:DA44"/>
    <mergeCell ref="DB44:DD44"/>
    <mergeCell ref="DE44:DG44"/>
    <mergeCell ref="DH44:DJ44"/>
    <mergeCell ref="DK44:DM44"/>
    <mergeCell ref="DN44:DP44"/>
    <mergeCell ref="DQ44:DS44"/>
    <mergeCell ref="DT44:DV44"/>
    <mergeCell ref="DW44:E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Q45"/>
    <mergeCell ref="AS45:AU45"/>
    <mergeCell ref="AV45:AX45"/>
    <mergeCell ref="AY45:BA45"/>
    <mergeCell ref="BB45:BD45"/>
    <mergeCell ref="BE45:BG45"/>
    <mergeCell ref="BH45:BJ45"/>
    <mergeCell ref="BK45:BM45"/>
    <mergeCell ref="BN45:BP45"/>
    <mergeCell ref="BQ45:BS45"/>
    <mergeCell ref="BT45:BV45"/>
    <mergeCell ref="BW45:BY45"/>
    <mergeCell ref="BZ45:CB45"/>
    <mergeCell ref="CC45:CE45"/>
    <mergeCell ref="CF45:CI45"/>
    <mergeCell ref="CK45:CM45"/>
    <mergeCell ref="CN45:CP45"/>
    <mergeCell ref="CQ45:CS45"/>
    <mergeCell ref="CT45:CV45"/>
    <mergeCell ref="CW45:CY45"/>
    <mergeCell ref="CZ45:DB45"/>
    <mergeCell ref="DC45:DE45"/>
    <mergeCell ref="DF45:DH45"/>
    <mergeCell ref="DI45:DK45"/>
    <mergeCell ref="DL45:DN45"/>
    <mergeCell ref="DO45:DQ45"/>
    <mergeCell ref="DR45:DT45"/>
    <mergeCell ref="DU45:DW45"/>
    <mergeCell ref="DX45:EA45"/>
    <mergeCell ref="A46:D46"/>
    <mergeCell ref="E46:G46"/>
    <mergeCell ref="H46:J46"/>
    <mergeCell ref="K46:M46"/>
    <mergeCell ref="N46:P46"/>
    <mergeCell ref="Q46:S46"/>
    <mergeCell ref="T46:V46"/>
    <mergeCell ref="W46:Y46"/>
    <mergeCell ref="Z46:AB46"/>
    <mergeCell ref="AC46:AE46"/>
    <mergeCell ref="AF46:AH46"/>
    <mergeCell ref="AI46:AK46"/>
    <mergeCell ref="AL46:AQ46"/>
    <mergeCell ref="AS46:AV46"/>
    <mergeCell ref="AW46:AY46"/>
    <mergeCell ref="AZ46:BB46"/>
    <mergeCell ref="BC46:BE46"/>
    <mergeCell ref="BF46:BH46"/>
    <mergeCell ref="BI46:BK46"/>
    <mergeCell ref="BL46:BN46"/>
    <mergeCell ref="BO46:BQ46"/>
    <mergeCell ref="BR46:BT46"/>
    <mergeCell ref="BU46:BW46"/>
    <mergeCell ref="BX46:BZ46"/>
    <mergeCell ref="CA46:CC46"/>
    <mergeCell ref="CD46:CI46"/>
    <mergeCell ref="CK46:CN46"/>
    <mergeCell ref="CO46:CQ46"/>
    <mergeCell ref="CR46:CT46"/>
    <mergeCell ref="CU46:CW46"/>
    <mergeCell ref="CX46:CZ46"/>
    <mergeCell ref="DA46:DC46"/>
    <mergeCell ref="DD46:DF46"/>
    <mergeCell ref="DG46:DI46"/>
    <mergeCell ref="DJ46:DL46"/>
    <mergeCell ref="DM46:DO46"/>
    <mergeCell ref="DP46:DR46"/>
    <mergeCell ref="DS46:DU46"/>
    <mergeCell ref="DV46:EA46"/>
    <mergeCell ref="A47:A48"/>
    <mergeCell ref="B47:D48"/>
    <mergeCell ref="E47:G48"/>
    <mergeCell ref="H47:J48"/>
    <mergeCell ref="K47:M48"/>
    <mergeCell ref="N47:V48"/>
    <mergeCell ref="W47:Y48"/>
    <mergeCell ref="Z47:AB48"/>
    <mergeCell ref="AC47:AE48"/>
    <mergeCell ref="AF47:AH48"/>
    <mergeCell ref="AI47:AK47"/>
    <mergeCell ref="AL47:AN47"/>
    <mergeCell ref="AS47:AS48"/>
    <mergeCell ref="AT47:AV48"/>
    <mergeCell ref="AW47:AY48"/>
    <mergeCell ref="AZ47:BB48"/>
    <mergeCell ref="BC47:BE48"/>
    <mergeCell ref="BF47:BN48"/>
    <mergeCell ref="BO47:BQ48"/>
    <mergeCell ref="BR47:BT48"/>
    <mergeCell ref="BU47:BW48"/>
    <mergeCell ref="BX47:BZ48"/>
    <mergeCell ref="CA47:CC47"/>
    <mergeCell ref="CD47:CF47"/>
    <mergeCell ref="CK47:CK48"/>
    <mergeCell ref="CL47:CN48"/>
    <mergeCell ref="CO47:CQ48"/>
    <mergeCell ref="CR47:CT48"/>
    <mergeCell ref="CU47:CW48"/>
    <mergeCell ref="CX47:DF48"/>
    <mergeCell ref="DG47:DI48"/>
    <mergeCell ref="DJ47:DL48"/>
    <mergeCell ref="DM47:DO48"/>
    <mergeCell ref="DP47:DR48"/>
    <mergeCell ref="DS47:DU47"/>
    <mergeCell ref="DV47:DX47"/>
    <mergeCell ref="AI48:AK48"/>
    <mergeCell ref="AL48:AN48"/>
    <mergeCell ref="AO48:AQ48"/>
    <mergeCell ref="CA48:CC48"/>
    <mergeCell ref="CD48:CF48"/>
    <mergeCell ref="CG48:CI48"/>
    <mergeCell ref="DS48:DU48"/>
    <mergeCell ref="DV48:DX48"/>
    <mergeCell ref="DY48:EA4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I47"/>
  <sheetViews>
    <sheetView showFormulas="false" showGridLines="true" showRowColHeaders="true" showZeros="true" rightToLeft="false" tabSelected="false" showOutlineSymbols="true" defaultGridColor="true" view="normal" topLeftCell="U1" colorId="64" zoomScale="100" zoomScaleNormal="100" zoomScalePageLayoutView="100" workbookViewId="0">
      <selection pane="topLeft" activeCell="BC10" activeCellId="1" sqref="AS19:CI24 BC1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80" width="6.12"/>
    <col collapsed="false" customWidth="true" hidden="false" outlineLevel="0" max="43" min="2" style="80" width="2.04"/>
    <col collapsed="false" customWidth="true" hidden="false" outlineLevel="0" max="44" min="44" style="80" width="4.98"/>
    <col collapsed="false" customWidth="true" hidden="false" outlineLevel="0" max="45" min="45" style="80" width="6.12"/>
    <col collapsed="false" customWidth="true" hidden="false" outlineLevel="0" max="48" min="46" style="80" width="2.04"/>
    <col collapsed="false" customWidth="true" hidden="false" outlineLevel="0" max="87" min="49" style="1" width="2.04"/>
  </cols>
  <sheetData>
    <row r="1" customFormat="false" ht="12.8" hidden="false" customHeight="true" outlineLevel="0" collapsed="false">
      <c r="A1" s="81" t="s">
        <v>437</v>
      </c>
      <c r="B1" s="81"/>
      <c r="C1" s="81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3"/>
      <c r="AS1" s="81" t="s">
        <v>614</v>
      </c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3"/>
    </row>
    <row r="2" customFormat="false" ht="25.5" hidden="false" customHeight="true" outlineLevel="0" collapsed="false">
      <c r="A2" s="84" t="s">
        <v>518</v>
      </c>
      <c r="B2" s="84" t="n">
        <v>1</v>
      </c>
      <c r="C2" s="84"/>
      <c r="D2" s="84"/>
      <c r="E2" s="84" t="n">
        <v>2</v>
      </c>
      <c r="F2" s="84"/>
      <c r="G2" s="84"/>
      <c r="H2" s="84" t="n">
        <v>3</v>
      </c>
      <c r="I2" s="84"/>
      <c r="J2" s="84"/>
      <c r="K2" s="84" t="n">
        <v>4</v>
      </c>
      <c r="L2" s="84"/>
      <c r="M2" s="84"/>
      <c r="N2" s="84" t="n">
        <v>5</v>
      </c>
      <c r="O2" s="84"/>
      <c r="P2" s="84"/>
      <c r="Q2" s="84" t="n">
        <v>6</v>
      </c>
      <c r="R2" s="84"/>
      <c r="S2" s="84"/>
      <c r="T2" s="84" t="n">
        <v>7</v>
      </c>
      <c r="U2" s="84"/>
      <c r="V2" s="84"/>
      <c r="W2" s="84" t="n">
        <v>8</v>
      </c>
      <c r="X2" s="84"/>
      <c r="Y2" s="84"/>
      <c r="Z2" s="84" t="n">
        <v>9</v>
      </c>
      <c r="AA2" s="84"/>
      <c r="AB2" s="84"/>
      <c r="AC2" s="84" t="n">
        <v>0</v>
      </c>
      <c r="AD2" s="84"/>
      <c r="AE2" s="84"/>
      <c r="AF2" s="84" t="s">
        <v>462</v>
      </c>
      <c r="AG2" s="84"/>
      <c r="AH2" s="84"/>
      <c r="AI2" s="84" t="s">
        <v>500</v>
      </c>
      <c r="AJ2" s="84"/>
      <c r="AK2" s="84"/>
      <c r="AL2" s="84" t="s">
        <v>465</v>
      </c>
      <c r="AM2" s="84"/>
      <c r="AN2" s="84"/>
      <c r="AO2" s="84" t="s">
        <v>465</v>
      </c>
      <c r="AP2" s="84"/>
      <c r="AQ2" s="84"/>
      <c r="AS2" s="84" t="s">
        <v>461</v>
      </c>
      <c r="AT2" s="84" t="n">
        <v>1</v>
      </c>
      <c r="AU2" s="84"/>
      <c r="AV2" s="84"/>
      <c r="AW2" s="84" t="n">
        <v>2</v>
      </c>
      <c r="AX2" s="84"/>
      <c r="AY2" s="84"/>
      <c r="AZ2" s="84" t="n">
        <v>3</v>
      </c>
      <c r="BA2" s="84"/>
      <c r="BB2" s="84"/>
      <c r="BC2" s="84" t="n">
        <v>4</v>
      </c>
      <c r="BD2" s="84"/>
      <c r="BE2" s="84"/>
      <c r="BF2" s="84" t="n">
        <v>5</v>
      </c>
      <c r="BG2" s="84"/>
      <c r="BH2" s="84"/>
      <c r="BI2" s="84" t="n">
        <v>6</v>
      </c>
      <c r="BJ2" s="84"/>
      <c r="BK2" s="84"/>
      <c r="BL2" s="84" t="n">
        <v>7</v>
      </c>
      <c r="BM2" s="84"/>
      <c r="BN2" s="84"/>
      <c r="BO2" s="84" t="n">
        <v>8</v>
      </c>
      <c r="BP2" s="84"/>
      <c r="BQ2" s="84"/>
      <c r="BR2" s="84" t="n">
        <v>9</v>
      </c>
      <c r="BS2" s="84"/>
      <c r="BT2" s="84"/>
      <c r="BU2" s="84" t="n">
        <v>0</v>
      </c>
      <c r="BV2" s="84"/>
      <c r="BW2" s="84"/>
      <c r="BX2" s="84" t="s">
        <v>462</v>
      </c>
      <c r="BY2" s="84"/>
      <c r="BZ2" s="84"/>
      <c r="CA2" s="84" t="s">
        <v>500</v>
      </c>
      <c r="CB2" s="84"/>
      <c r="CC2" s="84"/>
      <c r="CD2" s="84" t="s">
        <v>465</v>
      </c>
      <c r="CE2" s="84"/>
      <c r="CF2" s="84"/>
      <c r="CG2" s="84" t="s">
        <v>465</v>
      </c>
      <c r="CH2" s="84"/>
      <c r="CI2" s="84"/>
    </row>
    <row r="3" customFormat="false" ht="25.5" hidden="false" customHeight="true" outlineLevel="0" collapsed="false">
      <c r="A3" s="84" t="s">
        <v>466</v>
      </c>
      <c r="B3" s="84"/>
      <c r="C3" s="84" t="s">
        <v>10</v>
      </c>
      <c r="D3" s="84"/>
      <c r="E3" s="84"/>
      <c r="F3" s="84" t="s">
        <v>6</v>
      </c>
      <c r="G3" s="84"/>
      <c r="H3" s="84"/>
      <c r="I3" s="84" t="s">
        <v>11</v>
      </c>
      <c r="J3" s="84"/>
      <c r="K3" s="84"/>
      <c r="L3" s="84" t="s">
        <v>209</v>
      </c>
      <c r="M3" s="84"/>
      <c r="N3" s="84"/>
      <c r="O3" s="84" t="s">
        <v>105</v>
      </c>
      <c r="P3" s="84"/>
      <c r="Q3" s="84"/>
      <c r="R3" s="84" t="s">
        <v>198</v>
      </c>
      <c r="S3" s="84"/>
      <c r="T3" s="84"/>
      <c r="U3" s="84" t="s">
        <v>14</v>
      </c>
      <c r="V3" s="84"/>
      <c r="W3" s="84"/>
      <c r="X3" s="84" t="s">
        <v>515</v>
      </c>
      <c r="Y3" s="84"/>
      <c r="Z3" s="84"/>
      <c r="AA3" s="84" t="s">
        <v>45</v>
      </c>
      <c r="AB3" s="84"/>
      <c r="AC3" s="84"/>
      <c r="AD3" s="84" t="s">
        <v>46</v>
      </c>
      <c r="AE3" s="84"/>
      <c r="AF3" s="84"/>
      <c r="AG3" s="84" t="s">
        <v>468</v>
      </c>
      <c r="AH3" s="84"/>
      <c r="AI3" s="84"/>
      <c r="AJ3" s="84" t="s">
        <v>472</v>
      </c>
      <c r="AK3" s="84"/>
      <c r="AL3" s="84"/>
      <c r="AM3" s="84" t="s">
        <v>464</v>
      </c>
      <c r="AN3" s="84"/>
      <c r="AO3" s="84"/>
      <c r="AP3" s="84"/>
      <c r="AQ3" s="84"/>
      <c r="AS3" s="84" t="s">
        <v>466</v>
      </c>
      <c r="AT3" s="84"/>
      <c r="AU3" s="84" t="s">
        <v>10</v>
      </c>
      <c r="AV3" s="84"/>
      <c r="AW3" s="84"/>
      <c r="AX3" s="84" t="s">
        <v>6</v>
      </c>
      <c r="AY3" s="84"/>
      <c r="AZ3" s="84"/>
      <c r="BA3" s="84" t="s">
        <v>11</v>
      </c>
      <c r="BB3" s="84"/>
      <c r="BC3" s="84"/>
      <c r="BD3" s="84" t="s">
        <v>209</v>
      </c>
      <c r="BE3" s="84"/>
      <c r="BF3" s="84"/>
      <c r="BG3" s="84" t="s">
        <v>105</v>
      </c>
      <c r="BH3" s="84"/>
      <c r="BI3" s="84"/>
      <c r="BJ3" s="84" t="s">
        <v>198</v>
      </c>
      <c r="BK3" s="84"/>
      <c r="BL3" s="84"/>
      <c r="BM3" s="84" t="s">
        <v>14</v>
      </c>
      <c r="BN3" s="84"/>
      <c r="BO3" s="84"/>
      <c r="BP3" s="84" t="s">
        <v>515</v>
      </c>
      <c r="BQ3" s="84"/>
      <c r="BR3" s="84"/>
      <c r="BS3" s="84" t="s">
        <v>45</v>
      </c>
      <c r="BT3" s="84"/>
      <c r="BU3" s="84"/>
      <c r="BV3" s="84" t="s">
        <v>46</v>
      </c>
      <c r="BW3" s="84"/>
      <c r="BX3" s="84"/>
      <c r="BY3" s="84" t="s">
        <v>468</v>
      </c>
      <c r="BZ3" s="84"/>
      <c r="CA3" s="84"/>
      <c r="CB3" s="84" t="s">
        <v>472</v>
      </c>
      <c r="CC3" s="84"/>
      <c r="CD3" s="84"/>
      <c r="CE3" s="84" t="s">
        <v>464</v>
      </c>
      <c r="CF3" s="84"/>
      <c r="CG3" s="84"/>
      <c r="CH3" s="84"/>
      <c r="CI3" s="84"/>
    </row>
    <row r="4" customFormat="false" ht="25.5" hidden="false" customHeight="true" outlineLevel="0" collapsed="false">
      <c r="A4" s="85" t="s">
        <v>473</v>
      </c>
      <c r="B4" s="85"/>
      <c r="C4" s="85"/>
      <c r="D4" s="84" t="s">
        <v>1</v>
      </c>
      <c r="E4" s="84"/>
      <c r="F4" s="84"/>
      <c r="G4" s="84" t="s">
        <v>8</v>
      </c>
      <c r="H4" s="84"/>
      <c r="I4" s="84"/>
      <c r="J4" s="84" t="s">
        <v>284</v>
      </c>
      <c r="K4" s="84"/>
      <c r="L4" s="84"/>
      <c r="M4" s="86" t="s">
        <v>47</v>
      </c>
      <c r="N4" s="86"/>
      <c r="O4" s="86"/>
      <c r="P4" s="84" t="s">
        <v>243</v>
      </c>
      <c r="Q4" s="84"/>
      <c r="R4" s="84"/>
      <c r="S4" s="84" t="s">
        <v>16</v>
      </c>
      <c r="T4" s="84"/>
      <c r="U4" s="84"/>
      <c r="V4" s="86" t="s">
        <v>12</v>
      </c>
      <c r="W4" s="86"/>
      <c r="X4" s="86"/>
      <c r="Y4" s="84" t="s">
        <v>4</v>
      </c>
      <c r="Z4" s="84"/>
      <c r="AA4" s="84"/>
      <c r="AB4" s="84" t="s">
        <v>5</v>
      </c>
      <c r="AC4" s="84"/>
      <c r="AD4" s="84"/>
      <c r="AE4" s="84" t="s">
        <v>3</v>
      </c>
      <c r="AF4" s="84"/>
      <c r="AG4" s="84"/>
      <c r="AH4" s="84" t="s">
        <v>492</v>
      </c>
      <c r="AI4" s="84"/>
      <c r="AJ4" s="84"/>
      <c r="AK4" s="84" t="s">
        <v>469</v>
      </c>
      <c r="AL4" s="84"/>
      <c r="AM4" s="84"/>
      <c r="AN4" s="84"/>
      <c r="AO4" s="84"/>
      <c r="AP4" s="84"/>
      <c r="AQ4" s="84"/>
      <c r="AS4" s="85" t="s">
        <v>473</v>
      </c>
      <c r="AT4" s="85"/>
      <c r="AU4" s="85"/>
      <c r="AV4" s="84" t="s">
        <v>1</v>
      </c>
      <c r="AW4" s="84"/>
      <c r="AX4" s="84"/>
      <c r="AY4" s="84" t="s">
        <v>8</v>
      </c>
      <c r="AZ4" s="84"/>
      <c r="BA4" s="84"/>
      <c r="BB4" s="84" t="s">
        <v>284</v>
      </c>
      <c r="BC4" s="84"/>
      <c r="BD4" s="84"/>
      <c r="BE4" s="86" t="s">
        <v>47</v>
      </c>
      <c r="BF4" s="86"/>
      <c r="BG4" s="86"/>
      <c r="BH4" s="84" t="s">
        <v>243</v>
      </c>
      <c r="BI4" s="84"/>
      <c r="BJ4" s="84"/>
      <c r="BK4" s="84" t="s">
        <v>16</v>
      </c>
      <c r="BL4" s="84"/>
      <c r="BM4" s="84"/>
      <c r="BN4" s="86" t="s">
        <v>12</v>
      </c>
      <c r="BO4" s="86"/>
      <c r="BP4" s="86"/>
      <c r="BQ4" s="84" t="s">
        <v>4</v>
      </c>
      <c r="BR4" s="84"/>
      <c r="BS4" s="84"/>
      <c r="BT4" s="84" t="s">
        <v>5</v>
      </c>
      <c r="BU4" s="84"/>
      <c r="BV4" s="84"/>
      <c r="BW4" s="84" t="s">
        <v>3</v>
      </c>
      <c r="BX4" s="84"/>
      <c r="BY4" s="84"/>
      <c r="BZ4" s="84" t="s">
        <v>471</v>
      </c>
      <c r="CA4" s="84"/>
      <c r="CB4" s="84"/>
      <c r="CC4" s="84" t="s">
        <v>469</v>
      </c>
      <c r="CD4" s="84"/>
      <c r="CE4" s="84"/>
      <c r="CF4" s="84"/>
      <c r="CG4" s="84"/>
      <c r="CH4" s="84"/>
      <c r="CI4" s="84"/>
    </row>
    <row r="5" customFormat="false" ht="25.5" hidden="false" customHeight="true" outlineLevel="0" collapsed="false">
      <c r="A5" s="85" t="s">
        <v>474</v>
      </c>
      <c r="B5" s="85"/>
      <c r="C5" s="85"/>
      <c r="D5" s="85"/>
      <c r="E5" s="85" t="s">
        <v>7</v>
      </c>
      <c r="F5" s="85"/>
      <c r="G5" s="85"/>
      <c r="H5" s="85" t="s">
        <v>384</v>
      </c>
      <c r="I5" s="85"/>
      <c r="J5" s="85"/>
      <c r="K5" s="85" t="s">
        <v>353</v>
      </c>
      <c r="L5" s="85"/>
      <c r="M5" s="85"/>
      <c r="N5" s="85" t="s">
        <v>9</v>
      </c>
      <c r="O5" s="85"/>
      <c r="P5" s="85"/>
      <c r="Q5" s="85" t="s">
        <v>307</v>
      </c>
      <c r="R5" s="85"/>
      <c r="S5" s="85"/>
      <c r="T5" s="85" t="s">
        <v>13</v>
      </c>
      <c r="U5" s="85"/>
      <c r="V5" s="85"/>
      <c r="W5" s="85" t="s">
        <v>15</v>
      </c>
      <c r="X5" s="85"/>
      <c r="Y5" s="85"/>
      <c r="Z5" s="85" t="s">
        <v>475</v>
      </c>
      <c r="AA5" s="85"/>
      <c r="AB5" s="85"/>
      <c r="AC5" s="84" t="s">
        <v>476</v>
      </c>
      <c r="AD5" s="84"/>
      <c r="AE5" s="84"/>
      <c r="AF5" s="84" t="s">
        <v>477</v>
      </c>
      <c r="AG5" s="84"/>
      <c r="AH5" s="84"/>
      <c r="AI5" s="84" t="s">
        <v>474</v>
      </c>
      <c r="AJ5" s="84"/>
      <c r="AK5" s="84" t="s">
        <v>474</v>
      </c>
      <c r="AL5" s="84" t="s">
        <v>474</v>
      </c>
      <c r="AM5" s="84"/>
      <c r="AN5" s="84"/>
      <c r="AO5" s="84"/>
      <c r="AP5" s="84"/>
      <c r="AQ5" s="84"/>
      <c r="AS5" s="85" t="s">
        <v>474</v>
      </c>
      <c r="AT5" s="85"/>
      <c r="AU5" s="85"/>
      <c r="AV5" s="85"/>
      <c r="AW5" s="85" t="s">
        <v>7</v>
      </c>
      <c r="AX5" s="85"/>
      <c r="AY5" s="85"/>
      <c r="AZ5" s="85" t="s">
        <v>384</v>
      </c>
      <c r="BA5" s="85"/>
      <c r="BB5" s="85"/>
      <c r="BC5" s="85" t="s">
        <v>353</v>
      </c>
      <c r="BD5" s="85"/>
      <c r="BE5" s="85"/>
      <c r="BF5" s="85" t="s">
        <v>9</v>
      </c>
      <c r="BG5" s="85"/>
      <c r="BH5" s="85"/>
      <c r="BI5" s="85" t="s">
        <v>307</v>
      </c>
      <c r="BJ5" s="85"/>
      <c r="BK5" s="85"/>
      <c r="BL5" s="85" t="s">
        <v>13</v>
      </c>
      <c r="BM5" s="85"/>
      <c r="BN5" s="85"/>
      <c r="BO5" s="85" t="s">
        <v>15</v>
      </c>
      <c r="BP5" s="85"/>
      <c r="BQ5" s="85"/>
      <c r="BR5" s="85" t="s">
        <v>475</v>
      </c>
      <c r="BS5" s="85"/>
      <c r="BT5" s="85"/>
      <c r="BU5" s="84" t="s">
        <v>476</v>
      </c>
      <c r="BV5" s="84"/>
      <c r="BW5" s="84"/>
      <c r="BX5" s="84" t="s">
        <v>477</v>
      </c>
      <c r="BY5" s="84"/>
      <c r="BZ5" s="84"/>
      <c r="CA5" s="84" t="s">
        <v>474</v>
      </c>
      <c r="CB5" s="84"/>
      <c r="CC5" s="84" t="s">
        <v>474</v>
      </c>
      <c r="CD5" s="84" t="s">
        <v>474</v>
      </c>
      <c r="CE5" s="84"/>
      <c r="CF5" s="84"/>
      <c r="CG5" s="84"/>
      <c r="CH5" s="84"/>
      <c r="CI5" s="84"/>
    </row>
    <row r="6" customFormat="false" ht="12.8" hidden="false" customHeight="true" outlineLevel="0" collapsed="false">
      <c r="A6" s="85" t="s">
        <v>478</v>
      </c>
      <c r="B6" s="85" t="s">
        <v>479</v>
      </c>
      <c r="C6" s="85"/>
      <c r="D6" s="85"/>
      <c r="E6" s="85" t="s">
        <v>480</v>
      </c>
      <c r="F6" s="85"/>
      <c r="G6" s="85"/>
      <c r="H6" s="85" t="s">
        <v>481</v>
      </c>
      <c r="I6" s="85"/>
      <c r="J6" s="85"/>
      <c r="K6" s="85" t="s">
        <v>484</v>
      </c>
      <c r="L6" s="85"/>
      <c r="M6" s="85"/>
      <c r="N6" s="85" t="s">
        <v>483</v>
      </c>
      <c r="O6" s="85"/>
      <c r="P6" s="85" t="s">
        <v>484</v>
      </c>
      <c r="Q6" s="85"/>
      <c r="R6" s="85"/>
      <c r="S6" s="85"/>
      <c r="T6" s="85"/>
      <c r="U6" s="85"/>
      <c r="V6" s="85" t="s">
        <v>485</v>
      </c>
      <c r="W6" s="85" t="s">
        <v>485</v>
      </c>
      <c r="X6" s="85"/>
      <c r="Y6" s="85"/>
      <c r="Z6" s="85" t="s">
        <v>557</v>
      </c>
      <c r="AA6" s="85"/>
      <c r="AB6" s="85"/>
      <c r="AC6" s="85" t="s">
        <v>481</v>
      </c>
      <c r="AD6" s="85"/>
      <c r="AE6" s="85"/>
      <c r="AF6" s="85" t="s">
        <v>478</v>
      </c>
      <c r="AG6" s="85"/>
      <c r="AH6" s="85"/>
      <c r="AI6" s="87"/>
      <c r="AJ6" s="87"/>
      <c r="AK6" s="87"/>
      <c r="AL6" s="84" t="s">
        <v>487</v>
      </c>
      <c r="AM6" s="84"/>
      <c r="AN6" s="84"/>
      <c r="AO6" s="87"/>
      <c r="AP6" s="87"/>
      <c r="AQ6" s="87"/>
      <c r="AS6" s="85" t="s">
        <v>478</v>
      </c>
      <c r="AT6" s="85" t="s">
        <v>479</v>
      </c>
      <c r="AU6" s="85"/>
      <c r="AV6" s="85"/>
      <c r="AW6" s="85" t="s">
        <v>480</v>
      </c>
      <c r="AX6" s="85"/>
      <c r="AY6" s="85"/>
      <c r="AZ6" s="85" t="s">
        <v>481</v>
      </c>
      <c r="BA6" s="85"/>
      <c r="BB6" s="85"/>
      <c r="BC6" s="85" t="s">
        <v>484</v>
      </c>
      <c r="BD6" s="85"/>
      <c r="BE6" s="85"/>
      <c r="BF6" s="85" t="s">
        <v>483</v>
      </c>
      <c r="BG6" s="85"/>
      <c r="BH6" s="85" t="s">
        <v>484</v>
      </c>
      <c r="BI6" s="85"/>
      <c r="BJ6" s="85"/>
      <c r="BK6" s="85"/>
      <c r="BL6" s="85"/>
      <c r="BM6" s="85"/>
      <c r="BN6" s="85" t="s">
        <v>485</v>
      </c>
      <c r="BO6" s="85" t="s">
        <v>485</v>
      </c>
      <c r="BP6" s="85"/>
      <c r="BQ6" s="85"/>
      <c r="BR6" s="85" t="s">
        <v>557</v>
      </c>
      <c r="BS6" s="85"/>
      <c r="BT6" s="85"/>
      <c r="BU6" s="85" t="s">
        <v>481</v>
      </c>
      <c r="BV6" s="85"/>
      <c r="BW6" s="85"/>
      <c r="BX6" s="85" t="s">
        <v>478</v>
      </c>
      <c r="BY6" s="85"/>
      <c r="BZ6" s="85"/>
      <c r="CA6" s="87"/>
      <c r="CB6" s="87"/>
      <c r="CC6" s="87"/>
      <c r="CD6" s="84" t="s">
        <v>487</v>
      </c>
      <c r="CE6" s="84"/>
      <c r="CF6" s="84"/>
      <c r="CG6" s="87"/>
      <c r="CH6" s="87"/>
      <c r="CI6" s="87"/>
    </row>
    <row r="7" customFormat="false" ht="12.8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4" t="s">
        <v>402</v>
      </c>
      <c r="AJ7" s="84"/>
      <c r="AK7" s="84" t="s">
        <v>488</v>
      </c>
      <c r="AL7" s="84" t="s">
        <v>488</v>
      </c>
      <c r="AM7" s="84"/>
      <c r="AN7" s="84"/>
      <c r="AO7" s="84" t="s">
        <v>400</v>
      </c>
      <c r="AP7" s="84"/>
      <c r="AQ7" s="84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4" t="s">
        <v>402</v>
      </c>
      <c r="CB7" s="84"/>
      <c r="CC7" s="84" t="s">
        <v>488</v>
      </c>
      <c r="CD7" s="84" t="s">
        <v>488</v>
      </c>
      <c r="CE7" s="84"/>
      <c r="CF7" s="84"/>
      <c r="CG7" s="84" t="s">
        <v>400</v>
      </c>
      <c r="CH7" s="84"/>
      <c r="CI7" s="84"/>
    </row>
    <row r="8" customFormat="false" ht="12.8" hidden="false" customHeight="true" outlineLevel="0" collapsed="false">
      <c r="A8" s="1"/>
      <c r="B8" s="1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</row>
    <row r="9" customFormat="false" ht="12.8" hidden="false" customHeight="true" outlineLevel="0" collapsed="false">
      <c r="A9" s="81" t="s">
        <v>615</v>
      </c>
      <c r="B9" s="1"/>
      <c r="C9" s="81"/>
      <c r="D9" s="81"/>
      <c r="E9" s="81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3"/>
      <c r="AS9" s="81" t="s">
        <v>490</v>
      </c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3"/>
    </row>
    <row r="10" customFormat="false" ht="25.5" hidden="false" customHeight="true" outlineLevel="0" collapsed="false">
      <c r="A10" s="84" t="s">
        <v>518</v>
      </c>
      <c r="B10" s="84" t="n">
        <v>1</v>
      </c>
      <c r="C10" s="84"/>
      <c r="D10" s="84"/>
      <c r="E10" s="84" t="n">
        <v>2</v>
      </c>
      <c r="F10" s="84"/>
      <c r="G10" s="84"/>
      <c r="H10" s="84" t="n">
        <v>3</v>
      </c>
      <c r="I10" s="84"/>
      <c r="J10" s="84"/>
      <c r="K10" s="84" t="n">
        <v>4</v>
      </c>
      <c r="L10" s="84"/>
      <c r="M10" s="84"/>
      <c r="N10" s="84" t="n">
        <v>5</v>
      </c>
      <c r="O10" s="84"/>
      <c r="P10" s="84"/>
      <c r="Q10" s="84" t="n">
        <v>6</v>
      </c>
      <c r="R10" s="84"/>
      <c r="S10" s="84"/>
      <c r="T10" s="84" t="n">
        <v>7</v>
      </c>
      <c r="U10" s="84"/>
      <c r="V10" s="84"/>
      <c r="W10" s="84" t="n">
        <v>8</v>
      </c>
      <c r="X10" s="84"/>
      <c r="Y10" s="84"/>
      <c r="Z10" s="84" t="n">
        <v>9</v>
      </c>
      <c r="AA10" s="84"/>
      <c r="AB10" s="84"/>
      <c r="AC10" s="84" t="n">
        <v>0</v>
      </c>
      <c r="AD10" s="84"/>
      <c r="AE10" s="84"/>
      <c r="AF10" s="84" t="s">
        <v>462</v>
      </c>
      <c r="AG10" s="84"/>
      <c r="AH10" s="84"/>
      <c r="AI10" s="84" t="s">
        <v>500</v>
      </c>
      <c r="AJ10" s="84"/>
      <c r="AK10" s="84"/>
      <c r="AL10" s="84" t="s">
        <v>465</v>
      </c>
      <c r="AM10" s="84"/>
      <c r="AN10" s="84"/>
      <c r="AO10" s="84" t="s">
        <v>465</v>
      </c>
      <c r="AP10" s="84"/>
      <c r="AQ10" s="84"/>
      <c r="AS10" s="89" t="s">
        <v>501</v>
      </c>
      <c r="AT10" s="89" t="s">
        <v>491</v>
      </c>
      <c r="AU10" s="89"/>
      <c r="AV10" s="89"/>
      <c r="AW10" s="89" t="s">
        <v>467</v>
      </c>
      <c r="AX10" s="89"/>
      <c r="AY10" s="89"/>
      <c r="AZ10" s="89" t="s">
        <v>493</v>
      </c>
      <c r="BA10" s="89"/>
      <c r="BB10" s="89"/>
      <c r="BC10" s="89" t="s">
        <v>494</v>
      </c>
      <c r="BD10" s="89"/>
      <c r="BE10" s="89"/>
      <c r="BF10" s="89" t="s">
        <v>495</v>
      </c>
      <c r="BG10" s="89"/>
      <c r="BH10" s="89"/>
      <c r="BI10" s="89" t="s">
        <v>463</v>
      </c>
      <c r="BJ10" s="89"/>
      <c r="BK10" s="89"/>
      <c r="BL10" s="89" t="s">
        <v>496</v>
      </c>
      <c r="BM10" s="89"/>
      <c r="BN10" s="89"/>
      <c r="BO10" s="89" t="s">
        <v>535</v>
      </c>
      <c r="BP10" s="89"/>
      <c r="BQ10" s="89"/>
      <c r="BR10" s="89" t="s">
        <v>616</v>
      </c>
      <c r="BS10" s="89"/>
      <c r="BT10" s="89"/>
      <c r="BU10" s="89" t="s">
        <v>499</v>
      </c>
      <c r="BV10" s="89"/>
      <c r="BW10" s="89"/>
      <c r="BX10" s="89" t="s">
        <v>537</v>
      </c>
      <c r="BY10" s="89"/>
      <c r="BZ10" s="89"/>
      <c r="CA10" s="89" t="s">
        <v>534</v>
      </c>
      <c r="CB10" s="89"/>
      <c r="CC10" s="89"/>
      <c r="CD10" s="84"/>
      <c r="CE10" s="84"/>
      <c r="CF10" s="84"/>
      <c r="CG10" s="84" t="s">
        <v>465</v>
      </c>
      <c r="CH10" s="84"/>
      <c r="CI10" s="84"/>
    </row>
    <row r="11" customFormat="false" ht="25.5" hidden="false" customHeight="true" outlineLevel="0" collapsed="false">
      <c r="A11" s="84" t="s">
        <v>466</v>
      </c>
      <c r="B11" s="84"/>
      <c r="C11" s="84" t="s">
        <v>10</v>
      </c>
      <c r="D11" s="84"/>
      <c r="E11" s="84"/>
      <c r="F11" s="84" t="s">
        <v>6</v>
      </c>
      <c r="G11" s="84"/>
      <c r="H11" s="84"/>
      <c r="I11" s="84" t="s">
        <v>11</v>
      </c>
      <c r="J11" s="84"/>
      <c r="K11" s="84"/>
      <c r="L11" s="84" t="s">
        <v>209</v>
      </c>
      <c r="M11" s="84"/>
      <c r="N11" s="84"/>
      <c r="O11" s="84" t="s">
        <v>105</v>
      </c>
      <c r="P11" s="84"/>
      <c r="Q11" s="84"/>
      <c r="R11" s="84" t="s">
        <v>198</v>
      </c>
      <c r="S11" s="84"/>
      <c r="T11" s="84"/>
      <c r="U11" s="84" t="s">
        <v>14</v>
      </c>
      <c r="V11" s="84"/>
      <c r="W11" s="84"/>
      <c r="X11" s="84" t="s">
        <v>515</v>
      </c>
      <c r="Y11" s="84"/>
      <c r="Z11" s="84"/>
      <c r="AA11" s="84" t="s">
        <v>45</v>
      </c>
      <c r="AB11" s="84"/>
      <c r="AC11" s="84"/>
      <c r="AD11" s="84" t="s">
        <v>46</v>
      </c>
      <c r="AE11" s="84"/>
      <c r="AF11" s="84"/>
      <c r="AG11" s="84" t="s">
        <v>468</v>
      </c>
      <c r="AH11" s="84"/>
      <c r="AI11" s="84"/>
      <c r="AJ11" s="84" t="s">
        <v>472</v>
      </c>
      <c r="AK11" s="84"/>
      <c r="AL11" s="84"/>
      <c r="AM11" s="84" t="s">
        <v>617</v>
      </c>
      <c r="AN11" s="84"/>
      <c r="AO11" s="84"/>
      <c r="AP11" s="84"/>
      <c r="AQ11" s="84"/>
      <c r="AS11" s="84"/>
      <c r="AT11" s="84"/>
      <c r="AU11" s="89" t="s">
        <v>509</v>
      </c>
      <c r="AV11" s="89"/>
      <c r="AW11" s="89"/>
      <c r="AX11" s="89" t="s">
        <v>510</v>
      </c>
      <c r="AY11" s="89"/>
      <c r="AZ11" s="89"/>
      <c r="BA11" s="89" t="s">
        <v>511</v>
      </c>
      <c r="BB11" s="89"/>
      <c r="BC11" s="89"/>
      <c r="BD11" s="89" t="s">
        <v>53</v>
      </c>
      <c r="BE11" s="89"/>
      <c r="BF11" s="89"/>
      <c r="BG11" s="89" t="s">
        <v>512</v>
      </c>
      <c r="BH11" s="89"/>
      <c r="BI11" s="89"/>
      <c r="BJ11" s="89" t="s">
        <v>513</v>
      </c>
      <c r="BK11" s="89"/>
      <c r="BL11" s="89"/>
      <c r="BM11" s="89" t="s">
        <v>514</v>
      </c>
      <c r="BN11" s="89"/>
      <c r="BO11" s="89"/>
      <c r="BP11" s="89" t="s">
        <v>515</v>
      </c>
      <c r="BQ11" s="89"/>
      <c r="BR11" s="89"/>
      <c r="BS11" s="89" t="s">
        <v>516</v>
      </c>
      <c r="BT11" s="89"/>
      <c r="BU11" s="89"/>
      <c r="BV11" s="89" t="s">
        <v>517</v>
      </c>
      <c r="BW11" s="89"/>
      <c r="BX11" s="89"/>
      <c r="BY11" s="89" t="s">
        <v>519</v>
      </c>
      <c r="BZ11" s="89"/>
      <c r="CA11" s="89"/>
      <c r="CB11" s="89" t="s">
        <v>536</v>
      </c>
      <c r="CC11" s="89"/>
      <c r="CD11" s="89"/>
      <c r="CE11" s="89" t="s">
        <v>502</v>
      </c>
      <c r="CF11" s="89"/>
      <c r="CG11" s="89"/>
      <c r="CH11" s="89"/>
      <c r="CI11" s="89"/>
    </row>
    <row r="12" customFormat="false" ht="25.5" hidden="false" customHeight="true" outlineLevel="0" collapsed="false">
      <c r="A12" s="85" t="s">
        <v>473</v>
      </c>
      <c r="B12" s="85"/>
      <c r="C12" s="85"/>
      <c r="D12" s="84" t="s">
        <v>1</v>
      </c>
      <c r="E12" s="84"/>
      <c r="F12" s="84"/>
      <c r="G12" s="84" t="s">
        <v>8</v>
      </c>
      <c r="H12" s="84"/>
      <c r="I12" s="84"/>
      <c r="J12" s="84" t="s">
        <v>284</v>
      </c>
      <c r="K12" s="84"/>
      <c r="L12" s="84"/>
      <c r="M12" s="86" t="s">
        <v>47</v>
      </c>
      <c r="N12" s="86"/>
      <c r="O12" s="86"/>
      <c r="P12" s="84" t="s">
        <v>243</v>
      </c>
      <c r="Q12" s="84"/>
      <c r="R12" s="84"/>
      <c r="S12" s="84" t="s">
        <v>16</v>
      </c>
      <c r="T12" s="84"/>
      <c r="U12" s="84"/>
      <c r="V12" s="86" t="s">
        <v>12</v>
      </c>
      <c r="W12" s="86"/>
      <c r="X12" s="86"/>
      <c r="Y12" s="84" t="s">
        <v>4</v>
      </c>
      <c r="Z12" s="84"/>
      <c r="AA12" s="84"/>
      <c r="AB12" s="84" t="s">
        <v>5</v>
      </c>
      <c r="AC12" s="84"/>
      <c r="AD12" s="84"/>
      <c r="AE12" s="84" t="s">
        <v>3</v>
      </c>
      <c r="AF12" s="84"/>
      <c r="AG12" s="84"/>
      <c r="AH12" s="84" t="s">
        <v>471</v>
      </c>
      <c r="AI12" s="84"/>
      <c r="AJ12" s="84"/>
      <c r="AK12" s="84" t="s">
        <v>469</v>
      </c>
      <c r="AL12" s="84"/>
      <c r="AM12" s="84"/>
      <c r="AN12" s="84"/>
      <c r="AO12" s="84"/>
      <c r="AP12" s="84"/>
      <c r="AQ12" s="84"/>
      <c r="AS12" s="85"/>
      <c r="AT12" s="85"/>
      <c r="AU12" s="85"/>
      <c r="AV12" s="89" t="s">
        <v>526</v>
      </c>
      <c r="AW12" s="89"/>
      <c r="AX12" s="89"/>
      <c r="AY12" s="89" t="s">
        <v>527</v>
      </c>
      <c r="AZ12" s="89"/>
      <c r="BA12" s="89"/>
      <c r="BB12" s="89" t="s">
        <v>528</v>
      </c>
      <c r="BC12" s="89"/>
      <c r="BD12" s="89"/>
      <c r="BE12" s="90" t="s">
        <v>529</v>
      </c>
      <c r="BF12" s="90"/>
      <c r="BG12" s="90"/>
      <c r="BH12" s="89" t="s">
        <v>530</v>
      </c>
      <c r="BI12" s="89"/>
      <c r="BJ12" s="89"/>
      <c r="BK12" s="89" t="s">
        <v>531</v>
      </c>
      <c r="BL12" s="89"/>
      <c r="BM12" s="89"/>
      <c r="BN12" s="90" t="s">
        <v>532</v>
      </c>
      <c r="BO12" s="90"/>
      <c r="BP12" s="90"/>
      <c r="BQ12" s="89" t="s">
        <v>533</v>
      </c>
      <c r="BR12" s="89"/>
      <c r="BS12" s="89"/>
      <c r="BT12" s="89" t="s">
        <v>78</v>
      </c>
      <c r="BU12" s="89"/>
      <c r="BV12" s="89"/>
      <c r="BW12" s="89" t="s">
        <v>471</v>
      </c>
      <c r="BX12" s="89"/>
      <c r="BY12" s="89"/>
      <c r="BZ12" s="89" t="s">
        <v>492</v>
      </c>
      <c r="CA12" s="89"/>
      <c r="CB12" s="89"/>
      <c r="CC12" s="84"/>
      <c r="CD12" s="84"/>
      <c r="CE12" s="84"/>
      <c r="CF12" s="84"/>
      <c r="CG12" s="84"/>
      <c r="CH12" s="84"/>
      <c r="CI12" s="84"/>
    </row>
    <row r="13" customFormat="false" ht="25.5" hidden="false" customHeight="true" outlineLevel="0" collapsed="false">
      <c r="A13" s="85" t="s">
        <v>474</v>
      </c>
      <c r="B13" s="85"/>
      <c r="C13" s="85"/>
      <c r="D13" s="85"/>
      <c r="E13" s="85" t="s">
        <v>7</v>
      </c>
      <c r="F13" s="85"/>
      <c r="G13" s="85"/>
      <c r="H13" s="85" t="s">
        <v>384</v>
      </c>
      <c r="I13" s="85"/>
      <c r="J13" s="85"/>
      <c r="K13" s="85" t="s">
        <v>353</v>
      </c>
      <c r="L13" s="85"/>
      <c r="M13" s="85"/>
      <c r="N13" s="85" t="s">
        <v>9</v>
      </c>
      <c r="O13" s="85"/>
      <c r="P13" s="85"/>
      <c r="Q13" s="85" t="s">
        <v>307</v>
      </c>
      <c r="R13" s="85"/>
      <c r="S13" s="85"/>
      <c r="T13" s="85" t="s">
        <v>13</v>
      </c>
      <c r="U13" s="85"/>
      <c r="V13" s="85"/>
      <c r="W13" s="85" t="s">
        <v>15</v>
      </c>
      <c r="X13" s="85"/>
      <c r="Y13" s="85"/>
      <c r="Z13" s="85" t="s">
        <v>475</v>
      </c>
      <c r="AA13" s="85"/>
      <c r="AB13" s="85"/>
      <c r="AC13" s="84" t="s">
        <v>476</v>
      </c>
      <c r="AD13" s="84"/>
      <c r="AE13" s="84"/>
      <c r="AF13" s="84" t="s">
        <v>477</v>
      </c>
      <c r="AG13" s="84"/>
      <c r="AH13" s="84"/>
      <c r="AI13" s="84" t="s">
        <v>474</v>
      </c>
      <c r="AJ13" s="84"/>
      <c r="AK13" s="84" t="s">
        <v>474</v>
      </c>
      <c r="AL13" s="84" t="s">
        <v>474</v>
      </c>
      <c r="AM13" s="84"/>
      <c r="AN13" s="84"/>
      <c r="AO13" s="84"/>
      <c r="AP13" s="84"/>
      <c r="AQ13" s="84"/>
      <c r="AS13" s="85"/>
      <c r="AT13" s="85"/>
      <c r="AU13" s="85"/>
      <c r="AV13" s="85"/>
      <c r="AW13" s="89" t="s">
        <v>541</v>
      </c>
      <c r="AX13" s="89"/>
      <c r="AY13" s="89"/>
      <c r="AZ13" s="89" t="s">
        <v>542</v>
      </c>
      <c r="BA13" s="89"/>
      <c r="BB13" s="89"/>
      <c r="BC13" s="89" t="s">
        <v>543</v>
      </c>
      <c r="BD13" s="89"/>
      <c r="BE13" s="89"/>
      <c r="BF13" s="89" t="s">
        <v>544</v>
      </c>
      <c r="BG13" s="89"/>
      <c r="BH13" s="89"/>
      <c r="BI13" s="89" t="s">
        <v>545</v>
      </c>
      <c r="BJ13" s="89"/>
      <c r="BK13" s="89"/>
      <c r="BL13" s="89" t="s">
        <v>546</v>
      </c>
      <c r="BM13" s="89"/>
      <c r="BN13" s="89"/>
      <c r="BO13" s="89" t="s">
        <v>547</v>
      </c>
      <c r="BP13" s="89"/>
      <c r="BQ13" s="89"/>
      <c r="BR13" s="89" t="s">
        <v>548</v>
      </c>
      <c r="BS13" s="89"/>
      <c r="BT13" s="89"/>
      <c r="BU13" s="89" t="s">
        <v>549</v>
      </c>
      <c r="BV13" s="89"/>
      <c r="BW13" s="89"/>
      <c r="BX13" s="89" t="s">
        <v>520</v>
      </c>
      <c r="BY13" s="89"/>
      <c r="BZ13" s="89"/>
      <c r="CA13" s="84"/>
      <c r="CB13" s="84"/>
      <c r="CC13" s="84" t="s">
        <v>474</v>
      </c>
      <c r="CD13" s="84" t="s">
        <v>474</v>
      </c>
      <c r="CE13" s="84"/>
      <c r="CF13" s="84"/>
      <c r="CG13" s="84"/>
      <c r="CH13" s="84"/>
      <c r="CI13" s="84"/>
    </row>
    <row r="14" customFormat="false" ht="12.8" hidden="false" customHeight="false" outlineLevel="0" collapsed="false">
      <c r="A14" s="85" t="s">
        <v>478</v>
      </c>
      <c r="B14" s="85" t="s">
        <v>479</v>
      </c>
      <c r="C14" s="85"/>
      <c r="D14" s="85"/>
      <c r="E14" s="85" t="s">
        <v>480</v>
      </c>
      <c r="F14" s="85"/>
      <c r="G14" s="85"/>
      <c r="H14" s="85" t="s">
        <v>481</v>
      </c>
      <c r="I14" s="85"/>
      <c r="J14" s="85"/>
      <c r="K14" s="85" t="s">
        <v>484</v>
      </c>
      <c r="L14" s="85"/>
      <c r="M14" s="85"/>
      <c r="N14" s="85" t="s">
        <v>483</v>
      </c>
      <c r="O14" s="85"/>
      <c r="P14" s="85" t="s">
        <v>484</v>
      </c>
      <c r="Q14" s="85"/>
      <c r="R14" s="85"/>
      <c r="S14" s="85"/>
      <c r="T14" s="85"/>
      <c r="U14" s="85"/>
      <c r="V14" s="85" t="s">
        <v>485</v>
      </c>
      <c r="W14" s="85" t="s">
        <v>485</v>
      </c>
      <c r="X14" s="85"/>
      <c r="Y14" s="85"/>
      <c r="Z14" s="85" t="s">
        <v>557</v>
      </c>
      <c r="AA14" s="85"/>
      <c r="AB14" s="85"/>
      <c r="AC14" s="85" t="s">
        <v>481</v>
      </c>
      <c r="AD14" s="85"/>
      <c r="AE14" s="85"/>
      <c r="AF14" s="85" t="s">
        <v>478</v>
      </c>
      <c r="AG14" s="85"/>
      <c r="AH14" s="85"/>
      <c r="AI14" s="87"/>
      <c r="AJ14" s="87"/>
      <c r="AK14" s="87"/>
      <c r="AL14" s="84" t="s">
        <v>487</v>
      </c>
      <c r="AM14" s="84"/>
      <c r="AN14" s="84"/>
      <c r="AO14" s="87"/>
      <c r="AP14" s="87"/>
      <c r="AQ14" s="87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7"/>
      <c r="CB14" s="87"/>
      <c r="CC14" s="87"/>
      <c r="CD14" s="84"/>
      <c r="CE14" s="84"/>
      <c r="CF14" s="84"/>
      <c r="CG14" s="87"/>
      <c r="CH14" s="87"/>
      <c r="CI14" s="87"/>
    </row>
    <row r="15" customFormat="false" ht="12.8" hidden="false" customHeight="false" outlineLevel="0" collapsed="false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4" t="s">
        <v>402</v>
      </c>
      <c r="AJ15" s="84"/>
      <c r="AK15" s="84" t="s">
        <v>488</v>
      </c>
      <c r="AL15" s="84" t="s">
        <v>488</v>
      </c>
      <c r="AM15" s="84"/>
      <c r="AN15" s="84"/>
      <c r="AO15" s="84" t="s">
        <v>400</v>
      </c>
      <c r="AP15" s="84"/>
      <c r="AQ15" s="84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4"/>
      <c r="CB15" s="84"/>
      <c r="CC15" s="84"/>
      <c r="CD15" s="84"/>
      <c r="CE15" s="84"/>
      <c r="CF15" s="84"/>
      <c r="CG15" s="84"/>
      <c r="CH15" s="84"/>
      <c r="CI15" s="84"/>
    </row>
    <row r="16" customFormat="false" ht="12.8" hidden="false" customHeight="false" outlineLevel="0" collapsed="false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</row>
    <row r="17" customFormat="false" ht="13" hidden="false" customHeight="false" outlineLevel="0" collapsed="false">
      <c r="A17" s="81" t="s">
        <v>618</v>
      </c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3"/>
      <c r="AS17" s="91"/>
      <c r="AT17" s="91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3"/>
    </row>
    <row r="18" customFormat="false" ht="25.5" hidden="false" customHeight="true" outlineLevel="0" collapsed="false">
      <c r="A18" s="84"/>
      <c r="B18" s="84" t="s">
        <v>440</v>
      </c>
      <c r="C18" s="84"/>
      <c r="D18" s="84"/>
      <c r="E18" s="84" t="s">
        <v>441</v>
      </c>
      <c r="F18" s="84"/>
      <c r="G18" s="84"/>
      <c r="H18" s="84" t="s">
        <v>442</v>
      </c>
      <c r="I18" s="84"/>
      <c r="J18" s="84"/>
      <c r="K18" s="84" t="s">
        <v>443</v>
      </c>
      <c r="L18" s="84"/>
      <c r="M18" s="84"/>
      <c r="N18" s="84" t="s">
        <v>444</v>
      </c>
      <c r="O18" s="84"/>
      <c r="P18" s="84"/>
      <c r="Q18" s="84" t="s">
        <v>445</v>
      </c>
      <c r="R18" s="84"/>
      <c r="S18" s="84"/>
      <c r="T18" s="84" t="s">
        <v>446</v>
      </c>
      <c r="U18" s="84"/>
      <c r="V18" s="84"/>
      <c r="W18" s="84" t="s">
        <v>447</v>
      </c>
      <c r="X18" s="84"/>
      <c r="Y18" s="84"/>
      <c r="Z18" s="84" t="s">
        <v>448</v>
      </c>
      <c r="AA18" s="84"/>
      <c r="AB18" s="84"/>
      <c r="AC18" s="84" t="s">
        <v>449</v>
      </c>
      <c r="AD18" s="84"/>
      <c r="AE18" s="84"/>
      <c r="AF18" s="84" t="s">
        <v>450</v>
      </c>
      <c r="AG18" s="84"/>
      <c r="AH18" s="84"/>
      <c r="AI18" s="84" t="s">
        <v>451</v>
      </c>
      <c r="AJ18" s="84"/>
      <c r="AK18" s="84"/>
      <c r="AL18" s="84"/>
      <c r="AM18" s="84"/>
      <c r="AN18" s="84"/>
      <c r="AO18" s="84" t="s">
        <v>465</v>
      </c>
      <c r="AP18" s="84"/>
      <c r="AQ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92"/>
      <c r="BV18" s="92"/>
      <c r="BW18" s="92"/>
      <c r="BX18" s="92"/>
      <c r="BY18" s="92"/>
      <c r="BZ18" s="92"/>
      <c r="CA18" s="92"/>
      <c r="CB18" s="92"/>
      <c r="CC18" s="92"/>
      <c r="CD18" s="84"/>
      <c r="CE18" s="84"/>
      <c r="CF18" s="84"/>
      <c r="CG18" s="84"/>
      <c r="CH18" s="84"/>
      <c r="CI18" s="84"/>
    </row>
    <row r="19" customFormat="false" ht="25.5" hidden="false" customHeight="true" outlineLevel="0" collapsed="false">
      <c r="A19" s="84"/>
      <c r="B19" s="84"/>
      <c r="C19" s="93" t="s">
        <v>579</v>
      </c>
      <c r="D19" s="93"/>
      <c r="E19" s="93"/>
      <c r="F19" s="69" t="s">
        <v>521</v>
      </c>
      <c r="G19" s="69"/>
      <c r="H19" s="69"/>
      <c r="I19" s="92" t="s">
        <v>503</v>
      </c>
      <c r="J19" s="92"/>
      <c r="K19" s="92"/>
      <c r="L19" s="94" t="s">
        <v>563</v>
      </c>
      <c r="M19" s="94"/>
      <c r="N19" s="94"/>
      <c r="O19" s="95" t="s">
        <v>619</v>
      </c>
      <c r="P19" s="95"/>
      <c r="Q19" s="95"/>
      <c r="R19" s="94" t="s">
        <v>456</v>
      </c>
      <c r="S19" s="94"/>
      <c r="T19" s="94"/>
      <c r="U19" s="94" t="s">
        <v>465</v>
      </c>
      <c r="V19" s="94"/>
      <c r="W19" s="94"/>
      <c r="X19" s="92" t="s">
        <v>487</v>
      </c>
      <c r="Y19" s="92"/>
      <c r="Z19" s="92"/>
      <c r="AA19" s="69" t="s">
        <v>457</v>
      </c>
      <c r="AB19" s="69"/>
      <c r="AC19" s="69"/>
      <c r="AD19" s="69" t="s">
        <v>458</v>
      </c>
      <c r="AE19" s="69"/>
      <c r="AF19" s="69"/>
      <c r="AG19" s="93" t="s">
        <v>564</v>
      </c>
      <c r="AH19" s="93"/>
      <c r="AI19" s="93"/>
      <c r="AJ19" s="93" t="s">
        <v>565</v>
      </c>
      <c r="AK19" s="93"/>
      <c r="AL19" s="93"/>
      <c r="AM19" s="84"/>
      <c r="AN19" s="84"/>
      <c r="AO19" s="84"/>
      <c r="AP19" s="84"/>
      <c r="AQ19" s="84"/>
      <c r="AS19" s="84"/>
      <c r="AT19" s="84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9"/>
      <c r="BK19" s="89"/>
      <c r="BL19" s="89"/>
      <c r="BM19" s="89"/>
      <c r="BN19" s="89"/>
      <c r="BO19" s="89"/>
      <c r="BP19" s="84"/>
      <c r="BQ19" s="84"/>
      <c r="BR19" s="84"/>
      <c r="BS19" s="84"/>
      <c r="BT19" s="84"/>
      <c r="BU19" s="84"/>
      <c r="BV19" s="94"/>
      <c r="BW19" s="94"/>
      <c r="BX19" s="94"/>
      <c r="BY19" s="85"/>
      <c r="BZ19" s="85"/>
      <c r="CA19" s="85"/>
      <c r="CB19" s="85"/>
      <c r="CC19" s="85"/>
      <c r="CD19" s="85"/>
      <c r="CE19" s="84"/>
      <c r="CF19" s="84"/>
      <c r="CG19" s="84"/>
      <c r="CH19" s="84"/>
      <c r="CI19" s="84"/>
    </row>
    <row r="20" customFormat="false" ht="25.5" hidden="false" customHeight="true" outlineLevel="0" collapsed="false">
      <c r="A20" s="85"/>
      <c r="B20" s="85"/>
      <c r="C20" s="85"/>
      <c r="D20" s="95" t="s">
        <v>568</v>
      </c>
      <c r="E20" s="95"/>
      <c r="F20" s="95"/>
      <c r="G20" s="95" t="s">
        <v>620</v>
      </c>
      <c r="H20" s="95"/>
      <c r="I20" s="95"/>
      <c r="J20" s="94" t="s">
        <v>456</v>
      </c>
      <c r="K20" s="94"/>
      <c r="L20" s="94"/>
      <c r="M20" s="96" t="s">
        <v>466</v>
      </c>
      <c r="N20" s="96"/>
      <c r="O20" s="96"/>
      <c r="P20" s="97" t="s">
        <v>570</v>
      </c>
      <c r="Q20" s="97"/>
      <c r="R20" s="97"/>
      <c r="S20" s="92" t="s">
        <v>459</v>
      </c>
      <c r="T20" s="92"/>
      <c r="U20" s="92"/>
      <c r="V20" s="98" t="s">
        <v>402</v>
      </c>
      <c r="W20" s="98"/>
      <c r="X20" s="98"/>
      <c r="Y20" s="92" t="s">
        <v>488</v>
      </c>
      <c r="Z20" s="92"/>
      <c r="AA20" s="92"/>
      <c r="AB20" s="92" t="s">
        <v>400</v>
      </c>
      <c r="AC20" s="92"/>
      <c r="AD20" s="92"/>
      <c r="AE20" s="94" t="s">
        <v>469</v>
      </c>
      <c r="AF20" s="94"/>
      <c r="AG20" s="94"/>
      <c r="AH20" s="95" t="s">
        <v>621</v>
      </c>
      <c r="AI20" s="95"/>
      <c r="AJ20" s="95"/>
      <c r="AK20" s="84"/>
      <c r="AL20" s="84"/>
      <c r="AM20" s="84"/>
      <c r="AN20" s="84"/>
      <c r="AO20" s="84"/>
      <c r="AP20" s="84"/>
      <c r="AQ20" s="84"/>
      <c r="AS20" s="85"/>
      <c r="AT20" s="85"/>
      <c r="AU20" s="85"/>
      <c r="AV20" s="89"/>
      <c r="AW20" s="89"/>
      <c r="AX20" s="89"/>
      <c r="AY20" s="89"/>
      <c r="AZ20" s="89"/>
      <c r="BA20" s="89"/>
      <c r="BB20" s="89"/>
      <c r="BC20" s="89"/>
      <c r="BD20" s="89"/>
      <c r="BE20" s="89"/>
      <c r="BF20" s="89"/>
      <c r="BG20" s="89"/>
      <c r="BH20" s="89"/>
      <c r="BI20" s="89"/>
      <c r="BJ20" s="89"/>
      <c r="BK20" s="99"/>
      <c r="BL20" s="99"/>
      <c r="BM20" s="99"/>
      <c r="BN20" s="86"/>
      <c r="BO20" s="86"/>
      <c r="BP20" s="86"/>
      <c r="BQ20" s="84"/>
      <c r="BR20" s="84"/>
      <c r="BS20" s="84"/>
      <c r="BT20" s="84"/>
      <c r="BU20" s="84"/>
      <c r="BV20" s="84"/>
      <c r="BW20" s="89"/>
      <c r="BX20" s="89"/>
      <c r="BY20" s="89"/>
      <c r="BZ20" s="85"/>
      <c r="CA20" s="85"/>
      <c r="CB20" s="85"/>
      <c r="CC20" s="84"/>
      <c r="CD20" s="84"/>
      <c r="CE20" s="84"/>
      <c r="CF20" s="84"/>
      <c r="CG20" s="84"/>
      <c r="CH20" s="84"/>
      <c r="CI20" s="84"/>
    </row>
    <row r="21" customFormat="false" ht="25.5" hidden="false" customHeight="true" outlineLevel="0" collapsed="false">
      <c r="A21" s="85"/>
      <c r="B21" s="85"/>
      <c r="C21" s="85"/>
      <c r="D21" s="85"/>
      <c r="E21" s="94" t="s">
        <v>550</v>
      </c>
      <c r="F21" s="94"/>
      <c r="G21" s="94"/>
      <c r="H21" s="94" t="s">
        <v>551</v>
      </c>
      <c r="I21" s="94"/>
      <c r="J21" s="94"/>
      <c r="K21" s="94" t="s">
        <v>552</v>
      </c>
      <c r="L21" s="94"/>
      <c r="M21" s="94"/>
      <c r="N21" s="94" t="s">
        <v>553</v>
      </c>
      <c r="O21" s="94"/>
      <c r="P21" s="94"/>
      <c r="Q21" s="94" t="s">
        <v>550</v>
      </c>
      <c r="R21" s="94"/>
      <c r="S21" s="94"/>
      <c r="T21" s="94" t="s">
        <v>460</v>
      </c>
      <c r="U21" s="94"/>
      <c r="V21" s="94"/>
      <c r="W21" s="69" t="s">
        <v>461</v>
      </c>
      <c r="X21" s="69"/>
      <c r="Y21" s="69"/>
      <c r="Z21" s="94" t="s">
        <v>573</v>
      </c>
      <c r="AA21" s="94"/>
      <c r="AB21" s="94"/>
      <c r="AC21" s="94" t="s">
        <v>574</v>
      </c>
      <c r="AD21" s="94"/>
      <c r="AE21" s="94"/>
      <c r="AF21" s="95" t="s">
        <v>622</v>
      </c>
      <c r="AG21" s="95"/>
      <c r="AH21" s="95"/>
      <c r="AI21" s="84"/>
      <c r="AJ21" s="84"/>
      <c r="AK21" s="84" t="s">
        <v>474</v>
      </c>
      <c r="AL21" s="84" t="s">
        <v>474</v>
      </c>
      <c r="AM21" s="84"/>
      <c r="AN21" s="84"/>
      <c r="AO21" s="84"/>
      <c r="AP21" s="84"/>
      <c r="AQ21" s="84"/>
      <c r="AS21" s="85"/>
      <c r="AT21" s="85"/>
      <c r="AU21" s="85"/>
      <c r="AV21" s="85"/>
      <c r="AW21" s="89"/>
      <c r="AX21" s="89"/>
      <c r="AY21" s="89"/>
      <c r="AZ21" s="89"/>
      <c r="BA21" s="89"/>
      <c r="BB21" s="89"/>
      <c r="BC21" s="89"/>
      <c r="BD21" s="89"/>
      <c r="BE21" s="89"/>
      <c r="BF21" s="89"/>
      <c r="BG21" s="89"/>
      <c r="BH21" s="89"/>
      <c r="BI21" s="89"/>
      <c r="BJ21" s="89"/>
      <c r="BK21" s="89"/>
      <c r="BL21" s="97"/>
      <c r="BM21" s="97"/>
      <c r="BN21" s="97"/>
      <c r="BO21" s="94"/>
      <c r="BP21" s="94"/>
      <c r="BQ21" s="94"/>
      <c r="BR21" s="85"/>
      <c r="BS21" s="85"/>
      <c r="BT21" s="85"/>
      <c r="BU21" s="85"/>
      <c r="BV21" s="85"/>
      <c r="BW21" s="85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</row>
    <row r="22" customFormat="false" ht="12.8" hidden="false" customHeight="false" outlineLevel="0" collapsed="false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7"/>
      <c r="AJ22" s="87"/>
      <c r="AK22" s="87"/>
      <c r="AL22" s="84"/>
      <c r="AM22" s="84"/>
      <c r="AN22" s="84"/>
      <c r="AO22" s="87"/>
      <c r="AP22" s="87"/>
      <c r="AQ22" s="87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7"/>
      <c r="CB22" s="87"/>
      <c r="CC22" s="87"/>
      <c r="CD22" s="84"/>
      <c r="CE22" s="84"/>
      <c r="CF22" s="84"/>
      <c r="CG22" s="87"/>
      <c r="CH22" s="87"/>
      <c r="CI22" s="87"/>
    </row>
    <row r="23" customFormat="false" ht="12.8" hidden="false" customHeight="false" outlineLevel="0" collapsed="false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4"/>
      <c r="AJ23" s="84"/>
      <c r="AK23" s="84"/>
      <c r="AL23" s="84"/>
      <c r="AM23" s="84"/>
      <c r="AN23" s="84"/>
      <c r="AO23" s="84"/>
      <c r="AP23" s="84"/>
      <c r="AQ23" s="84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4"/>
      <c r="CB23" s="84"/>
      <c r="CC23" s="84"/>
      <c r="CD23" s="84"/>
      <c r="CE23" s="84"/>
      <c r="CF23" s="84"/>
      <c r="CG23" s="84"/>
      <c r="CH23" s="84"/>
      <c r="CI23" s="84"/>
    </row>
    <row r="24" customFormat="false" ht="12.8" hidden="false" customHeight="false" outlineLevel="0" collapsed="false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</row>
    <row r="25" customFormat="false" ht="13" hidden="false" customHeight="false" outlineLevel="0" collapsed="false">
      <c r="A25" s="81" t="s">
        <v>623</v>
      </c>
      <c r="B25" s="81"/>
      <c r="C25" s="81"/>
      <c r="D25" s="91"/>
      <c r="E25" s="91"/>
      <c r="F25" s="91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3"/>
      <c r="AR25" s="80" t="s">
        <v>476</v>
      </c>
      <c r="AS25" s="91"/>
      <c r="AT25" s="91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3"/>
    </row>
    <row r="26" customFormat="false" ht="25.5" hidden="false" customHeight="true" outlineLevel="0" collapsed="false">
      <c r="A26" s="84"/>
      <c r="B26" s="84" t="s">
        <v>440</v>
      </c>
      <c r="C26" s="84"/>
      <c r="D26" s="84"/>
      <c r="E26" s="84" t="s">
        <v>441</v>
      </c>
      <c r="F26" s="84"/>
      <c r="G26" s="84"/>
      <c r="H26" s="84" t="s">
        <v>442</v>
      </c>
      <c r="I26" s="84"/>
      <c r="J26" s="84"/>
      <c r="K26" s="84" t="s">
        <v>443</v>
      </c>
      <c r="L26" s="84"/>
      <c r="M26" s="84"/>
      <c r="N26" s="84" t="s">
        <v>444</v>
      </c>
      <c r="O26" s="84"/>
      <c r="P26" s="84"/>
      <c r="Q26" s="84" t="s">
        <v>445</v>
      </c>
      <c r="R26" s="84"/>
      <c r="S26" s="84"/>
      <c r="T26" s="84" t="s">
        <v>446</v>
      </c>
      <c r="U26" s="84"/>
      <c r="V26" s="84"/>
      <c r="W26" s="84" t="s">
        <v>447</v>
      </c>
      <c r="X26" s="84"/>
      <c r="Y26" s="84"/>
      <c r="Z26" s="84" t="s">
        <v>448</v>
      </c>
      <c r="AA26" s="84"/>
      <c r="AB26" s="84"/>
      <c r="AC26" s="84" t="s">
        <v>449</v>
      </c>
      <c r="AD26" s="84"/>
      <c r="AE26" s="84"/>
      <c r="AF26" s="84" t="s">
        <v>450</v>
      </c>
      <c r="AG26" s="84"/>
      <c r="AH26" s="84"/>
      <c r="AI26" s="84" t="s">
        <v>451</v>
      </c>
      <c r="AJ26" s="84"/>
      <c r="AK26" s="84"/>
      <c r="AL26" s="84"/>
      <c r="AM26" s="84"/>
      <c r="AN26" s="84"/>
      <c r="AO26" s="84" t="s">
        <v>465</v>
      </c>
      <c r="AP26" s="84"/>
      <c r="AQ26" s="84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4" t="s">
        <v>465</v>
      </c>
      <c r="CE26" s="84"/>
      <c r="CF26" s="84"/>
      <c r="CG26" s="84" t="s">
        <v>465</v>
      </c>
      <c r="CH26" s="84"/>
      <c r="CI26" s="84"/>
    </row>
    <row r="27" customFormat="false" ht="25.5" hidden="false" customHeight="true" outlineLevel="0" collapsed="false">
      <c r="A27" s="84"/>
      <c r="B27" s="84"/>
      <c r="C27" s="93" t="s">
        <v>579</v>
      </c>
      <c r="D27" s="93"/>
      <c r="E27" s="93"/>
      <c r="F27" s="69" t="s">
        <v>521</v>
      </c>
      <c r="G27" s="69"/>
      <c r="H27" s="69"/>
      <c r="I27" s="92" t="s">
        <v>503</v>
      </c>
      <c r="J27" s="92"/>
      <c r="K27" s="92"/>
      <c r="L27" s="94" t="s">
        <v>563</v>
      </c>
      <c r="M27" s="94"/>
      <c r="N27" s="94"/>
      <c r="O27" s="95" t="s">
        <v>619</v>
      </c>
      <c r="P27" s="95"/>
      <c r="Q27" s="95"/>
      <c r="R27" s="94" t="s">
        <v>456</v>
      </c>
      <c r="S27" s="94"/>
      <c r="T27" s="94"/>
      <c r="U27" s="94" t="s">
        <v>465</v>
      </c>
      <c r="V27" s="94"/>
      <c r="W27" s="94"/>
      <c r="X27" s="92" t="s">
        <v>487</v>
      </c>
      <c r="Y27" s="92"/>
      <c r="Z27" s="92"/>
      <c r="AA27" s="69" t="s">
        <v>457</v>
      </c>
      <c r="AB27" s="69"/>
      <c r="AC27" s="69"/>
      <c r="AD27" s="69" t="s">
        <v>458</v>
      </c>
      <c r="AE27" s="69"/>
      <c r="AF27" s="69"/>
      <c r="AG27" s="93" t="s">
        <v>564</v>
      </c>
      <c r="AH27" s="93"/>
      <c r="AI27" s="93"/>
      <c r="AJ27" s="93" t="s">
        <v>565</v>
      </c>
      <c r="AK27" s="93"/>
      <c r="AL27" s="93"/>
      <c r="AM27" s="84"/>
      <c r="AN27" s="84"/>
      <c r="AO27" s="84"/>
      <c r="AP27" s="84"/>
      <c r="AQ27" s="84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 t="s">
        <v>611</v>
      </c>
      <c r="BK27" s="85"/>
      <c r="BL27" s="85"/>
      <c r="BM27" s="100" t="s">
        <v>624</v>
      </c>
      <c r="BN27" s="100"/>
      <c r="BO27" s="100"/>
      <c r="BP27" s="85" t="s">
        <v>487</v>
      </c>
      <c r="BQ27" s="85"/>
      <c r="BR27" s="85"/>
      <c r="BS27" s="100" t="s">
        <v>625</v>
      </c>
      <c r="BT27" s="100"/>
      <c r="BU27" s="100"/>
      <c r="BV27" s="85"/>
      <c r="BW27" s="85"/>
      <c r="BX27" s="85"/>
      <c r="BY27" s="85"/>
      <c r="BZ27" s="85"/>
      <c r="CA27" s="85"/>
      <c r="CB27" s="85"/>
      <c r="CC27" s="85"/>
      <c r="CD27" s="85"/>
      <c r="CE27" s="84" t="s">
        <v>617</v>
      </c>
      <c r="CF27" s="84"/>
      <c r="CG27" s="84"/>
      <c r="CH27" s="84"/>
      <c r="CI27" s="84"/>
    </row>
    <row r="28" customFormat="false" ht="25.5" hidden="false" customHeight="true" outlineLevel="0" collapsed="false">
      <c r="A28" s="85"/>
      <c r="B28" s="85"/>
      <c r="C28" s="85"/>
      <c r="D28" s="95" t="s">
        <v>568</v>
      </c>
      <c r="E28" s="95"/>
      <c r="F28" s="95"/>
      <c r="G28" s="95" t="s">
        <v>620</v>
      </c>
      <c r="H28" s="95"/>
      <c r="I28" s="95"/>
      <c r="J28" s="94" t="s">
        <v>456</v>
      </c>
      <c r="K28" s="94"/>
      <c r="L28" s="94"/>
      <c r="M28" s="96" t="s">
        <v>466</v>
      </c>
      <c r="N28" s="96"/>
      <c r="O28" s="96"/>
      <c r="P28" s="97" t="s">
        <v>570</v>
      </c>
      <c r="Q28" s="97"/>
      <c r="R28" s="97"/>
      <c r="S28" s="92" t="s">
        <v>459</v>
      </c>
      <c r="T28" s="92"/>
      <c r="U28" s="92"/>
      <c r="V28" s="98" t="s">
        <v>402</v>
      </c>
      <c r="W28" s="98"/>
      <c r="X28" s="98"/>
      <c r="Y28" s="92" t="s">
        <v>488</v>
      </c>
      <c r="Z28" s="92"/>
      <c r="AA28" s="92"/>
      <c r="AB28" s="92" t="s">
        <v>400</v>
      </c>
      <c r="AC28" s="92"/>
      <c r="AD28" s="92"/>
      <c r="AE28" s="94" t="s">
        <v>469</v>
      </c>
      <c r="AF28" s="94"/>
      <c r="AG28" s="94"/>
      <c r="AH28" s="95" t="s">
        <v>621</v>
      </c>
      <c r="AI28" s="95"/>
      <c r="AJ28" s="95"/>
      <c r="AK28" s="84"/>
      <c r="AL28" s="84"/>
      <c r="AM28" s="84"/>
      <c r="AN28" s="84"/>
      <c r="AO28" s="84"/>
      <c r="AP28" s="84"/>
      <c r="AQ28" s="84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6"/>
      <c r="BF28" s="86"/>
      <c r="BG28" s="86"/>
      <c r="BH28" s="85"/>
      <c r="BI28" s="85"/>
      <c r="BJ28" s="85"/>
      <c r="BK28" s="85" t="s">
        <v>626</v>
      </c>
      <c r="BL28" s="85"/>
      <c r="BM28" s="85"/>
      <c r="BN28" s="86" t="s">
        <v>402</v>
      </c>
      <c r="BO28" s="86"/>
      <c r="BP28" s="86"/>
      <c r="BQ28" s="85" t="s">
        <v>488</v>
      </c>
      <c r="BR28" s="85"/>
      <c r="BS28" s="85"/>
      <c r="BT28" s="85" t="s">
        <v>400</v>
      </c>
      <c r="BU28" s="85"/>
      <c r="BV28" s="85"/>
      <c r="BW28" s="85"/>
      <c r="BX28" s="85"/>
      <c r="BY28" s="85"/>
      <c r="BZ28" s="85"/>
      <c r="CA28" s="85"/>
      <c r="CB28" s="85"/>
      <c r="CC28" s="84" t="s">
        <v>469</v>
      </c>
      <c r="CD28" s="84"/>
      <c r="CE28" s="84"/>
      <c r="CF28" s="84"/>
      <c r="CG28" s="84"/>
      <c r="CH28" s="84"/>
      <c r="CI28" s="84"/>
    </row>
    <row r="29" customFormat="false" ht="25.5" hidden="false" customHeight="true" outlineLevel="0" collapsed="false">
      <c r="A29" s="85"/>
      <c r="B29" s="85"/>
      <c r="C29" s="85"/>
      <c r="D29" s="85"/>
      <c r="E29" s="94" t="s">
        <v>550</v>
      </c>
      <c r="F29" s="94"/>
      <c r="G29" s="94"/>
      <c r="H29" s="94" t="s">
        <v>551</v>
      </c>
      <c r="I29" s="94"/>
      <c r="J29" s="94"/>
      <c r="K29" s="94" t="s">
        <v>552</v>
      </c>
      <c r="L29" s="94"/>
      <c r="M29" s="94"/>
      <c r="N29" s="94" t="s">
        <v>553</v>
      </c>
      <c r="O29" s="94"/>
      <c r="P29" s="94"/>
      <c r="Q29" s="94" t="s">
        <v>550</v>
      </c>
      <c r="R29" s="94"/>
      <c r="S29" s="94"/>
      <c r="T29" s="94" t="s">
        <v>460</v>
      </c>
      <c r="U29" s="94"/>
      <c r="V29" s="94"/>
      <c r="W29" s="69" t="s">
        <v>461</v>
      </c>
      <c r="X29" s="69"/>
      <c r="Y29" s="69"/>
      <c r="Z29" s="94" t="s">
        <v>573</v>
      </c>
      <c r="AA29" s="94"/>
      <c r="AB29" s="94"/>
      <c r="AC29" s="94" t="s">
        <v>574</v>
      </c>
      <c r="AD29" s="94"/>
      <c r="AE29" s="94"/>
      <c r="AF29" s="95" t="s">
        <v>622</v>
      </c>
      <c r="AG29" s="95"/>
      <c r="AH29" s="95"/>
      <c r="AI29" s="84"/>
      <c r="AJ29" s="84"/>
      <c r="AK29" s="84" t="s">
        <v>474</v>
      </c>
      <c r="AL29" s="84" t="s">
        <v>474</v>
      </c>
      <c r="AM29" s="84"/>
      <c r="AN29" s="84"/>
      <c r="AO29" s="84"/>
      <c r="AP29" s="84"/>
      <c r="AQ29" s="84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 t="s">
        <v>607</v>
      </c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4" t="s">
        <v>474</v>
      </c>
      <c r="CB29" s="84"/>
      <c r="CC29" s="84" t="s">
        <v>474</v>
      </c>
      <c r="CD29" s="84" t="s">
        <v>474</v>
      </c>
      <c r="CE29" s="84"/>
      <c r="CF29" s="84"/>
      <c r="CG29" s="84"/>
      <c r="CH29" s="84"/>
      <c r="CI29" s="84"/>
    </row>
    <row r="30" customFormat="false" ht="12.8" hidden="false" customHeight="false" outlineLevel="0" collapsed="false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7"/>
      <c r="AJ30" s="87"/>
      <c r="AK30" s="87"/>
      <c r="AL30" s="84"/>
      <c r="AM30" s="84"/>
      <c r="AN30" s="84"/>
      <c r="AO30" s="87"/>
      <c r="AP30" s="87"/>
      <c r="AQ30" s="87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7"/>
      <c r="CB30" s="87"/>
      <c r="CC30" s="87"/>
      <c r="CD30" s="84" t="s">
        <v>611</v>
      </c>
      <c r="CE30" s="84"/>
      <c r="CF30" s="84"/>
      <c r="CG30" s="87"/>
      <c r="CH30" s="87"/>
      <c r="CI30" s="87"/>
    </row>
    <row r="31" customFormat="false" ht="12.8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4"/>
      <c r="AJ31" s="84"/>
      <c r="AK31" s="84"/>
      <c r="AL31" s="84"/>
      <c r="AM31" s="84"/>
      <c r="AN31" s="84"/>
      <c r="AO31" s="84"/>
      <c r="AP31" s="84"/>
      <c r="AQ31" s="84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4" t="s">
        <v>607</v>
      </c>
      <c r="CB31" s="84"/>
      <c r="CC31" s="84"/>
      <c r="CD31" s="84" t="s">
        <v>611</v>
      </c>
      <c r="CE31" s="84"/>
      <c r="CF31" s="84"/>
      <c r="CG31" s="101" t="s">
        <v>612</v>
      </c>
      <c r="CH31" s="101"/>
      <c r="CI31" s="101"/>
    </row>
    <row r="32" customFormat="false" ht="12.8" hidden="false" customHeight="false" outlineLevel="0" collapsed="false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</row>
    <row r="33" customFormat="false" ht="12.8" hidden="false" customHeight="false" outlineLevel="0" collapsed="false">
      <c r="A33" s="81"/>
      <c r="B33" s="81"/>
      <c r="C33" s="81"/>
      <c r="D33" s="91"/>
      <c r="E33" s="91"/>
      <c r="F33" s="91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3"/>
      <c r="AS33" s="81"/>
      <c r="AT33" s="91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3"/>
    </row>
    <row r="34" customFormat="false" ht="25.5" hidden="false" customHeight="true" outlineLevel="0" collapsed="false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4"/>
      <c r="CE34" s="84"/>
      <c r="CF34" s="84"/>
      <c r="CG34" s="84"/>
      <c r="CH34" s="84"/>
      <c r="CI34" s="84"/>
    </row>
    <row r="35" customFormat="false" ht="25.5" hidden="false" customHeight="true" outlineLevel="0" collapsed="false">
      <c r="A35" s="84"/>
      <c r="B35" s="84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4"/>
      <c r="Y35" s="84"/>
      <c r="Z35" s="84"/>
      <c r="AA35" s="84"/>
      <c r="AB35" s="84"/>
      <c r="AC35" s="84"/>
      <c r="AD35" s="85"/>
      <c r="AE35" s="85"/>
      <c r="AF35" s="85"/>
      <c r="AG35" s="89"/>
      <c r="AH35" s="89"/>
      <c r="AI35" s="89"/>
      <c r="AJ35" s="89"/>
      <c r="AK35" s="89"/>
      <c r="AL35" s="89"/>
      <c r="AM35" s="84"/>
      <c r="AN35" s="84"/>
      <c r="AO35" s="84"/>
      <c r="AP35" s="84"/>
      <c r="AQ35" s="84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100"/>
      <c r="BQ35" s="100"/>
      <c r="BR35" s="100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4"/>
      <c r="CF35" s="84"/>
      <c r="CG35" s="84"/>
      <c r="CH35" s="84"/>
      <c r="CI35" s="84"/>
    </row>
    <row r="36" customFormat="false" ht="25.5" hidden="false" customHeight="true" outlineLevel="0" collapsed="false">
      <c r="A36" s="85"/>
      <c r="B36" s="85"/>
      <c r="C36" s="85"/>
      <c r="D36" s="89"/>
      <c r="E36" s="89"/>
      <c r="F36" s="89"/>
      <c r="G36" s="89"/>
      <c r="H36" s="89"/>
      <c r="I36" s="89"/>
      <c r="J36" s="89"/>
      <c r="K36" s="89"/>
      <c r="L36" s="89"/>
      <c r="M36" s="86"/>
      <c r="N36" s="86"/>
      <c r="O36" s="86"/>
      <c r="P36" s="89"/>
      <c r="Q36" s="89"/>
      <c r="R36" s="89"/>
      <c r="S36" s="84"/>
      <c r="T36" s="84"/>
      <c r="U36" s="84"/>
      <c r="V36" s="86"/>
      <c r="W36" s="86"/>
      <c r="X36" s="86"/>
      <c r="Y36" s="84"/>
      <c r="Z36" s="84"/>
      <c r="AA36" s="84"/>
      <c r="AB36" s="84"/>
      <c r="AC36" s="84"/>
      <c r="AD36" s="84"/>
      <c r="AE36" s="89"/>
      <c r="AF36" s="89"/>
      <c r="AG36" s="89"/>
      <c r="AH36" s="89"/>
      <c r="AI36" s="89"/>
      <c r="AJ36" s="89"/>
      <c r="AK36" s="84"/>
      <c r="AL36" s="84"/>
      <c r="AM36" s="84"/>
      <c r="AN36" s="84"/>
      <c r="AO36" s="84"/>
      <c r="AP36" s="84"/>
      <c r="AQ36" s="84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6"/>
      <c r="BF36" s="86"/>
      <c r="BG36" s="86"/>
      <c r="BH36" s="85"/>
      <c r="BI36" s="85"/>
      <c r="BJ36" s="85"/>
      <c r="BK36" s="85"/>
      <c r="BL36" s="85"/>
      <c r="BM36" s="85"/>
      <c r="BN36" s="86"/>
      <c r="BO36" s="86"/>
      <c r="BP36" s="86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4"/>
      <c r="CD36" s="84"/>
      <c r="CE36" s="84"/>
      <c r="CF36" s="84"/>
      <c r="CG36" s="84"/>
      <c r="CH36" s="84"/>
      <c r="CI36" s="84"/>
    </row>
    <row r="37" customFormat="false" ht="25.5" hidden="false" customHeight="true" outlineLevel="0" collapsed="false">
      <c r="A37" s="85"/>
      <c r="B37" s="85"/>
      <c r="C37" s="85"/>
      <c r="D37" s="85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5"/>
      <c r="U37" s="85"/>
      <c r="V37" s="85"/>
      <c r="W37" s="85"/>
      <c r="X37" s="85"/>
      <c r="Y37" s="85"/>
      <c r="Z37" s="89"/>
      <c r="AA37" s="89"/>
      <c r="AB37" s="89"/>
      <c r="AC37" s="70"/>
      <c r="AD37" s="70"/>
      <c r="AE37" s="70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4"/>
      <c r="CB37" s="84"/>
      <c r="CC37" s="84"/>
      <c r="CD37" s="84"/>
      <c r="CE37" s="84"/>
      <c r="CF37" s="84"/>
      <c r="CG37" s="84"/>
      <c r="CH37" s="84"/>
      <c r="CI37" s="84"/>
    </row>
    <row r="38" customFormat="false" ht="12.8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7"/>
      <c r="AJ38" s="87"/>
      <c r="AK38" s="87"/>
      <c r="AL38" s="84"/>
      <c r="AM38" s="84"/>
      <c r="AN38" s="84"/>
      <c r="AO38" s="87"/>
      <c r="AP38" s="87"/>
      <c r="AQ38" s="87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7"/>
      <c r="CB38" s="87"/>
      <c r="CC38" s="87"/>
      <c r="CD38" s="84"/>
      <c r="CE38" s="84"/>
      <c r="CF38" s="84"/>
      <c r="CG38" s="87"/>
      <c r="CH38" s="87"/>
      <c r="CI38" s="87"/>
    </row>
    <row r="39" customFormat="false" ht="12.8" hidden="false" customHeight="tru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4"/>
      <c r="AJ39" s="84"/>
      <c r="AK39" s="84"/>
      <c r="AL39" s="84"/>
      <c r="AM39" s="84"/>
      <c r="AN39" s="84"/>
      <c r="AO39" s="84"/>
      <c r="AP39" s="84"/>
      <c r="AQ39" s="84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4"/>
      <c r="CB39" s="84"/>
      <c r="CC39" s="84"/>
      <c r="CD39" s="84"/>
      <c r="CE39" s="84"/>
      <c r="CF39" s="84"/>
      <c r="CG39" s="84"/>
      <c r="CH39" s="84"/>
      <c r="CI39" s="84"/>
    </row>
    <row r="40" customFormat="false" ht="12.8" hidden="false" customHeight="false" outlineLevel="0" collapsed="false">
      <c r="D40" s="102"/>
      <c r="E40" s="102"/>
      <c r="F40" s="102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4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customFormat="false" ht="12.8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customFormat="false" ht="12.8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</sheetData>
  <mergeCells count="641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Q2"/>
    <mergeCell ref="AT2:AV2"/>
    <mergeCell ref="AW2:AY2"/>
    <mergeCell ref="AZ2:BB2"/>
    <mergeCell ref="BC2:BE2"/>
    <mergeCell ref="BF2:BH2"/>
    <mergeCell ref="BI2:BK2"/>
    <mergeCell ref="BL2:BN2"/>
    <mergeCell ref="BO2:BQ2"/>
    <mergeCell ref="BR2:BT2"/>
    <mergeCell ref="BU2:BW2"/>
    <mergeCell ref="BX2:BZ2"/>
    <mergeCell ref="CA2:CC2"/>
    <mergeCell ref="CD2:CI2"/>
    <mergeCell ref="A3:B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Q3"/>
    <mergeCell ref="AS3:AT3"/>
    <mergeCell ref="AU3:AW3"/>
    <mergeCell ref="AX3:AZ3"/>
    <mergeCell ref="BA3:BC3"/>
    <mergeCell ref="BD3:BF3"/>
    <mergeCell ref="BG3:BI3"/>
    <mergeCell ref="BJ3:BL3"/>
    <mergeCell ref="BM3:BO3"/>
    <mergeCell ref="BP3:BR3"/>
    <mergeCell ref="BS3:BU3"/>
    <mergeCell ref="BV3:BX3"/>
    <mergeCell ref="BY3:CA3"/>
    <mergeCell ref="CB3:CD3"/>
    <mergeCell ref="CE3:CI3"/>
    <mergeCell ref="A4:C4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Q4"/>
    <mergeCell ref="AS4:AU4"/>
    <mergeCell ref="AV4:AX4"/>
    <mergeCell ref="AY4:BA4"/>
    <mergeCell ref="BB4:BD4"/>
    <mergeCell ref="BE4:BG4"/>
    <mergeCell ref="BH4:BJ4"/>
    <mergeCell ref="BK4:BM4"/>
    <mergeCell ref="BN4:BP4"/>
    <mergeCell ref="BQ4:BS4"/>
    <mergeCell ref="BT4:BV4"/>
    <mergeCell ref="BW4:BY4"/>
    <mergeCell ref="BZ4:CB4"/>
    <mergeCell ref="CC4:CI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Q5"/>
    <mergeCell ref="AS5:AV5"/>
    <mergeCell ref="AW5:AY5"/>
    <mergeCell ref="AZ5:BB5"/>
    <mergeCell ref="BC5:BE5"/>
    <mergeCell ref="BF5:BH5"/>
    <mergeCell ref="BI5:BK5"/>
    <mergeCell ref="BL5:BN5"/>
    <mergeCell ref="BO5:BQ5"/>
    <mergeCell ref="BR5:BT5"/>
    <mergeCell ref="BU5:BW5"/>
    <mergeCell ref="BX5:BZ5"/>
    <mergeCell ref="CA5:CI5"/>
    <mergeCell ref="A6:A7"/>
    <mergeCell ref="B6:D7"/>
    <mergeCell ref="E6:G7"/>
    <mergeCell ref="H6:J7"/>
    <mergeCell ref="K6:AB7"/>
    <mergeCell ref="AC6:AE7"/>
    <mergeCell ref="AF6:AH7"/>
    <mergeCell ref="AI6:AK6"/>
    <mergeCell ref="AL6:AN6"/>
    <mergeCell ref="AS6:AS7"/>
    <mergeCell ref="AT6:AV7"/>
    <mergeCell ref="AW6:AY7"/>
    <mergeCell ref="AZ6:BB7"/>
    <mergeCell ref="BC6:BT7"/>
    <mergeCell ref="BU6:BW7"/>
    <mergeCell ref="BX6:BZ7"/>
    <mergeCell ref="CA6:CC6"/>
    <mergeCell ref="CD6:CF6"/>
    <mergeCell ref="AI7:AK7"/>
    <mergeCell ref="AL7:AN7"/>
    <mergeCell ref="AO7:AQ7"/>
    <mergeCell ref="CA7:CC7"/>
    <mergeCell ref="CD7:CF7"/>
    <mergeCell ref="CG7:CI7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Q10"/>
    <mergeCell ref="AT10:AV10"/>
    <mergeCell ref="AW10:AY10"/>
    <mergeCell ref="AZ10:BB10"/>
    <mergeCell ref="BC10:BE10"/>
    <mergeCell ref="BF10:BH10"/>
    <mergeCell ref="BI10:BK10"/>
    <mergeCell ref="BL10:BN10"/>
    <mergeCell ref="BO10:BQ10"/>
    <mergeCell ref="BR10:BT10"/>
    <mergeCell ref="BU10:BW10"/>
    <mergeCell ref="BX10:BZ10"/>
    <mergeCell ref="CA10:CC10"/>
    <mergeCell ref="CD10:CI10"/>
    <mergeCell ref="A11:B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Q11"/>
    <mergeCell ref="AS11:AT11"/>
    <mergeCell ref="AU11:AW11"/>
    <mergeCell ref="AX11:AZ11"/>
    <mergeCell ref="BA11:BC11"/>
    <mergeCell ref="BD11:BF11"/>
    <mergeCell ref="BG11:BI11"/>
    <mergeCell ref="BJ11:BL11"/>
    <mergeCell ref="BM11:BO11"/>
    <mergeCell ref="BP11:BR11"/>
    <mergeCell ref="BS11:BU11"/>
    <mergeCell ref="BV11:BX11"/>
    <mergeCell ref="BY11:CA11"/>
    <mergeCell ref="CB11:CD11"/>
    <mergeCell ref="CE11:CI11"/>
    <mergeCell ref="A12:C12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Q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I12"/>
    <mergeCell ref="A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Q13"/>
    <mergeCell ref="AS13:AV13"/>
    <mergeCell ref="AW13:AY13"/>
    <mergeCell ref="AZ13:BB13"/>
    <mergeCell ref="BC13:BE13"/>
    <mergeCell ref="BF13:BH13"/>
    <mergeCell ref="BI13:BK13"/>
    <mergeCell ref="BL13:BN13"/>
    <mergeCell ref="BO13:BQ13"/>
    <mergeCell ref="BR13:BT13"/>
    <mergeCell ref="BU13:BW13"/>
    <mergeCell ref="BX13:BZ13"/>
    <mergeCell ref="CA13:CI13"/>
    <mergeCell ref="A14:A15"/>
    <mergeCell ref="B14:D15"/>
    <mergeCell ref="E14:G15"/>
    <mergeCell ref="H14:J15"/>
    <mergeCell ref="K14:AB15"/>
    <mergeCell ref="AC14:AE15"/>
    <mergeCell ref="AF14:AH15"/>
    <mergeCell ref="AI14:AK14"/>
    <mergeCell ref="AL14:AN14"/>
    <mergeCell ref="AS14:AS15"/>
    <mergeCell ref="AT14:AV15"/>
    <mergeCell ref="AW14:AY15"/>
    <mergeCell ref="AZ14:BB15"/>
    <mergeCell ref="BC14:BT15"/>
    <mergeCell ref="BU14:BW15"/>
    <mergeCell ref="BX14:BZ15"/>
    <mergeCell ref="CA14:CC14"/>
    <mergeCell ref="CD14:CF14"/>
    <mergeCell ref="AI15:AK15"/>
    <mergeCell ref="AL15:AN15"/>
    <mergeCell ref="AO15:AQ15"/>
    <mergeCell ref="CA15:CC15"/>
    <mergeCell ref="CD15:CF15"/>
    <mergeCell ref="CG15:CI15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Q18"/>
    <mergeCell ref="AT18:AV18"/>
    <mergeCell ref="AW18:AY18"/>
    <mergeCell ref="AZ18:BB18"/>
    <mergeCell ref="BC18:BE18"/>
    <mergeCell ref="BF18:BH18"/>
    <mergeCell ref="BI18:BK18"/>
    <mergeCell ref="BL18:BN18"/>
    <mergeCell ref="BO18:BQ18"/>
    <mergeCell ref="BR18:BT18"/>
    <mergeCell ref="BU18:BW18"/>
    <mergeCell ref="BX18:BZ18"/>
    <mergeCell ref="CA18:CC18"/>
    <mergeCell ref="CD18:CF18"/>
    <mergeCell ref="CG18:CI18"/>
    <mergeCell ref="A19:B19"/>
    <mergeCell ref="C19:E19"/>
    <mergeCell ref="F19:H19"/>
    <mergeCell ref="I19:K19"/>
    <mergeCell ref="L19:N19"/>
    <mergeCell ref="O19:Q19"/>
    <mergeCell ref="R19:T19"/>
    <mergeCell ref="U19:W19"/>
    <mergeCell ref="X19:Z19"/>
    <mergeCell ref="AA19:AC19"/>
    <mergeCell ref="AD19:AF19"/>
    <mergeCell ref="AG19:AI19"/>
    <mergeCell ref="AJ19:AL19"/>
    <mergeCell ref="AM19:AQ19"/>
    <mergeCell ref="AS19:AT19"/>
    <mergeCell ref="AU19:AW19"/>
    <mergeCell ref="AX19:AZ19"/>
    <mergeCell ref="BA19:BC19"/>
    <mergeCell ref="BD19:BF19"/>
    <mergeCell ref="BG19:BI19"/>
    <mergeCell ref="BJ19:BL19"/>
    <mergeCell ref="BM19:BO19"/>
    <mergeCell ref="BP19:BR19"/>
    <mergeCell ref="BS19:BU19"/>
    <mergeCell ref="BV19:BX19"/>
    <mergeCell ref="BY19:CA19"/>
    <mergeCell ref="CB19:CD19"/>
    <mergeCell ref="CE19:CI19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Q20"/>
    <mergeCell ref="AS20:AU20"/>
    <mergeCell ref="AV20:AX20"/>
    <mergeCell ref="AY20:BA20"/>
    <mergeCell ref="BB20:BD20"/>
    <mergeCell ref="BE20:BG20"/>
    <mergeCell ref="BH20:BJ20"/>
    <mergeCell ref="BK20:BM20"/>
    <mergeCell ref="BN20:BP20"/>
    <mergeCell ref="BQ20:BS20"/>
    <mergeCell ref="BT20:BV20"/>
    <mergeCell ref="BW20:BY20"/>
    <mergeCell ref="BZ20:CB20"/>
    <mergeCell ref="CC20:CI20"/>
    <mergeCell ref="A21:D21"/>
    <mergeCell ref="E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Q21"/>
    <mergeCell ref="AS21:AV21"/>
    <mergeCell ref="AW21:AY21"/>
    <mergeCell ref="AZ21:BB21"/>
    <mergeCell ref="BC21:BE21"/>
    <mergeCell ref="BF21:BH21"/>
    <mergeCell ref="BI21:BK21"/>
    <mergeCell ref="BL21:BN21"/>
    <mergeCell ref="BO21:BQ21"/>
    <mergeCell ref="BR21:BT21"/>
    <mergeCell ref="BU21:BW21"/>
    <mergeCell ref="BX21:BZ21"/>
    <mergeCell ref="CA21:CI21"/>
    <mergeCell ref="A22:A23"/>
    <mergeCell ref="B22:D23"/>
    <mergeCell ref="E22:G23"/>
    <mergeCell ref="H22:J23"/>
    <mergeCell ref="K22:AB23"/>
    <mergeCell ref="AC22:AE23"/>
    <mergeCell ref="AF22:AH23"/>
    <mergeCell ref="AI22:AK22"/>
    <mergeCell ref="AL22:AN22"/>
    <mergeCell ref="AS22:AS23"/>
    <mergeCell ref="AT22:AV23"/>
    <mergeCell ref="AW22:AY23"/>
    <mergeCell ref="AZ22:BB23"/>
    <mergeCell ref="BC22:BT23"/>
    <mergeCell ref="BU22:BW23"/>
    <mergeCell ref="BX22:BZ23"/>
    <mergeCell ref="CA22:CC22"/>
    <mergeCell ref="CD22:CF22"/>
    <mergeCell ref="AI23:AK23"/>
    <mergeCell ref="AL23:AN23"/>
    <mergeCell ref="AO23:AQ23"/>
    <mergeCell ref="CA23:CC23"/>
    <mergeCell ref="CD23:CF23"/>
    <mergeCell ref="CG23:CI23"/>
    <mergeCell ref="B26:D26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AL26:AQ26"/>
    <mergeCell ref="AT26:AV26"/>
    <mergeCell ref="AW26:AY26"/>
    <mergeCell ref="AZ26:BB26"/>
    <mergeCell ref="BC26:BE26"/>
    <mergeCell ref="BF26:BH26"/>
    <mergeCell ref="BI26:BK26"/>
    <mergeCell ref="BL26:BN26"/>
    <mergeCell ref="BO26:BQ26"/>
    <mergeCell ref="BR26:BT26"/>
    <mergeCell ref="BU26:BW26"/>
    <mergeCell ref="BX26:BZ26"/>
    <mergeCell ref="CA26:CC26"/>
    <mergeCell ref="CD26:CI26"/>
    <mergeCell ref="A27:B27"/>
    <mergeCell ref="C27:E27"/>
    <mergeCell ref="F27:H27"/>
    <mergeCell ref="I27:K27"/>
    <mergeCell ref="L27:N27"/>
    <mergeCell ref="O27:Q27"/>
    <mergeCell ref="R27:T27"/>
    <mergeCell ref="U27:W27"/>
    <mergeCell ref="X27:Z27"/>
    <mergeCell ref="AA27:AC27"/>
    <mergeCell ref="AD27:AF27"/>
    <mergeCell ref="AG27:AI27"/>
    <mergeCell ref="AJ27:AL27"/>
    <mergeCell ref="AM27:AQ27"/>
    <mergeCell ref="AS27:AT27"/>
    <mergeCell ref="AU27:AW27"/>
    <mergeCell ref="AX27:AZ27"/>
    <mergeCell ref="BA27:BC27"/>
    <mergeCell ref="BD27:BF27"/>
    <mergeCell ref="BG27:BI27"/>
    <mergeCell ref="BJ27:BL27"/>
    <mergeCell ref="BM27:BO27"/>
    <mergeCell ref="BP27:BR27"/>
    <mergeCell ref="BS27:BU27"/>
    <mergeCell ref="BV27:BX27"/>
    <mergeCell ref="BY27:CA27"/>
    <mergeCell ref="CB27:CD27"/>
    <mergeCell ref="CE27:CI27"/>
    <mergeCell ref="A28:C28"/>
    <mergeCell ref="D28:F28"/>
    <mergeCell ref="G28:I28"/>
    <mergeCell ref="J28:L28"/>
    <mergeCell ref="M28:O28"/>
    <mergeCell ref="P28:R28"/>
    <mergeCell ref="S28:U28"/>
    <mergeCell ref="V28:X28"/>
    <mergeCell ref="Y28:AA28"/>
    <mergeCell ref="AB28:AD28"/>
    <mergeCell ref="AE28:AG28"/>
    <mergeCell ref="AH28:AJ28"/>
    <mergeCell ref="AK28:AQ28"/>
    <mergeCell ref="AS28:AU28"/>
    <mergeCell ref="AV28:AX28"/>
    <mergeCell ref="AY28:BA28"/>
    <mergeCell ref="BB28:BD28"/>
    <mergeCell ref="BE28:BG28"/>
    <mergeCell ref="BH28:BJ28"/>
    <mergeCell ref="BK28:BM28"/>
    <mergeCell ref="BN28:BP28"/>
    <mergeCell ref="BQ28:BS28"/>
    <mergeCell ref="BT28:BV28"/>
    <mergeCell ref="BW28:BY28"/>
    <mergeCell ref="BZ28:CB28"/>
    <mergeCell ref="CC28:CI28"/>
    <mergeCell ref="A29:D29"/>
    <mergeCell ref="E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AI29:AQ29"/>
    <mergeCell ref="AS29:AV29"/>
    <mergeCell ref="AW29:AY29"/>
    <mergeCell ref="AZ29:BB29"/>
    <mergeCell ref="BC29:BE29"/>
    <mergeCell ref="BF29:BH29"/>
    <mergeCell ref="BI29:BK29"/>
    <mergeCell ref="BL29:BN29"/>
    <mergeCell ref="BO29:BQ29"/>
    <mergeCell ref="BR29:BT29"/>
    <mergeCell ref="BU29:BW29"/>
    <mergeCell ref="BX29:BZ29"/>
    <mergeCell ref="CA29:CI29"/>
    <mergeCell ref="A30:A31"/>
    <mergeCell ref="B30:D31"/>
    <mergeCell ref="E30:G31"/>
    <mergeCell ref="H30:J31"/>
    <mergeCell ref="K30:AB31"/>
    <mergeCell ref="AC30:AE31"/>
    <mergeCell ref="AF30:AH31"/>
    <mergeCell ref="AI30:AK30"/>
    <mergeCell ref="AL30:AN30"/>
    <mergeCell ref="AS30:AS31"/>
    <mergeCell ref="AT30:AV31"/>
    <mergeCell ref="AW30:AY31"/>
    <mergeCell ref="AZ30:BB31"/>
    <mergeCell ref="BC30:BT31"/>
    <mergeCell ref="BU30:BW31"/>
    <mergeCell ref="BX30:BZ31"/>
    <mergeCell ref="CA30:CC30"/>
    <mergeCell ref="CD30:CF30"/>
    <mergeCell ref="AI31:AK31"/>
    <mergeCell ref="AL31:AN31"/>
    <mergeCell ref="AO31:AQ31"/>
    <mergeCell ref="CA31:CC31"/>
    <mergeCell ref="CD31:CF31"/>
    <mergeCell ref="CG31:CI31"/>
    <mergeCell ref="B34:D34"/>
    <mergeCell ref="E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AL34:AQ34"/>
    <mergeCell ref="AT34:AV34"/>
    <mergeCell ref="AW34:AY34"/>
    <mergeCell ref="AZ34:BB34"/>
    <mergeCell ref="BC34:BE34"/>
    <mergeCell ref="BF34:BH34"/>
    <mergeCell ref="BI34:BK34"/>
    <mergeCell ref="BL34:BN34"/>
    <mergeCell ref="BO34:BQ34"/>
    <mergeCell ref="BR34:BT34"/>
    <mergeCell ref="BU34:BW34"/>
    <mergeCell ref="BX34:BZ34"/>
    <mergeCell ref="CA34:CC34"/>
    <mergeCell ref="CD34:CI34"/>
    <mergeCell ref="A35:B35"/>
    <mergeCell ref="C35:E35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Q35"/>
    <mergeCell ref="AS35:AT35"/>
    <mergeCell ref="AU35:AW35"/>
    <mergeCell ref="AX35:AZ35"/>
    <mergeCell ref="BA35:BC35"/>
    <mergeCell ref="BD35:BF35"/>
    <mergeCell ref="BG35:BI35"/>
    <mergeCell ref="BJ35:BL35"/>
    <mergeCell ref="BM35:BO35"/>
    <mergeCell ref="BP35:BR35"/>
    <mergeCell ref="BS35:BU35"/>
    <mergeCell ref="BV35:BX35"/>
    <mergeCell ref="BY35:CA35"/>
    <mergeCell ref="CB35:CD35"/>
    <mergeCell ref="CE35:CI35"/>
    <mergeCell ref="A36:C36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Q36"/>
    <mergeCell ref="AS36:AU36"/>
    <mergeCell ref="AV36:AX36"/>
    <mergeCell ref="AY36:BA36"/>
    <mergeCell ref="BB36:BD36"/>
    <mergeCell ref="BE36:BG36"/>
    <mergeCell ref="BH36:BJ36"/>
    <mergeCell ref="BK36:BM36"/>
    <mergeCell ref="BN36:BP36"/>
    <mergeCell ref="BQ36:BS36"/>
    <mergeCell ref="BT36:BV36"/>
    <mergeCell ref="BW36:BY36"/>
    <mergeCell ref="BZ36:CB36"/>
    <mergeCell ref="CC36:CI36"/>
    <mergeCell ref="A37:D37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Q37"/>
    <mergeCell ref="AS37:AV37"/>
    <mergeCell ref="AW37:AY37"/>
    <mergeCell ref="AZ37:BB37"/>
    <mergeCell ref="BC37:BE37"/>
    <mergeCell ref="BF37:BH37"/>
    <mergeCell ref="BI37:BK37"/>
    <mergeCell ref="BL37:BN37"/>
    <mergeCell ref="BO37:BQ37"/>
    <mergeCell ref="BR37:BT37"/>
    <mergeCell ref="BU37:BW37"/>
    <mergeCell ref="BX37:BZ37"/>
    <mergeCell ref="CA37:CI37"/>
    <mergeCell ref="A38:A39"/>
    <mergeCell ref="B38:D39"/>
    <mergeCell ref="E38:G39"/>
    <mergeCell ref="H38:J39"/>
    <mergeCell ref="K38:AB39"/>
    <mergeCell ref="AC38:AE39"/>
    <mergeCell ref="AF38:AH39"/>
    <mergeCell ref="AI38:AK38"/>
    <mergeCell ref="AL38:AN38"/>
    <mergeCell ref="AS38:AS39"/>
    <mergeCell ref="AT38:AV39"/>
    <mergeCell ref="AW38:AY39"/>
    <mergeCell ref="AZ38:BB39"/>
    <mergeCell ref="BC38:BT39"/>
    <mergeCell ref="BU38:BW39"/>
    <mergeCell ref="BX38:BZ39"/>
    <mergeCell ref="CA38:CC38"/>
    <mergeCell ref="CD38:CF38"/>
    <mergeCell ref="AI39:AK39"/>
    <mergeCell ref="AL39:AN39"/>
    <mergeCell ref="AO39:AQ39"/>
    <mergeCell ref="CA39:CC39"/>
    <mergeCell ref="CD39:CF39"/>
    <mergeCell ref="CG39:CI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K47"/>
  <sheetViews>
    <sheetView showFormulas="false" showGridLines="true" showRowColHeaders="true" showZeros="true" rightToLeft="false" tabSelected="false" showOutlineSymbols="true" defaultGridColor="true" view="normal" topLeftCell="A8" colorId="64" zoomScale="100" zoomScaleNormal="100" zoomScalePageLayoutView="100" workbookViewId="0">
      <selection pane="topLeft" activeCell="AE30" activeCellId="1" sqref="AS19:CI24 AE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80" width="6.12"/>
    <col collapsed="false" customWidth="true" hidden="false" outlineLevel="0" max="43" min="2" style="80" width="2.04"/>
    <col collapsed="false" customWidth="true" hidden="false" outlineLevel="0" max="44" min="44" style="80" width="4.98"/>
    <col collapsed="false" customWidth="true" hidden="false" outlineLevel="0" max="46" min="45" style="80" width="6.12"/>
    <col collapsed="false" customWidth="true" hidden="false" outlineLevel="0" max="49" min="47" style="80" width="2.04"/>
    <col collapsed="false" customWidth="true" hidden="false" outlineLevel="0" max="88" min="50" style="1" width="2.04"/>
    <col collapsed="false" customWidth="true" hidden="false" outlineLevel="0" max="89" min="89" style="1" width="6.07"/>
  </cols>
  <sheetData>
    <row r="1" customFormat="false" ht="12.8" hidden="false" customHeight="true" outlineLevel="0" collapsed="false">
      <c r="A1" s="81" t="s">
        <v>437</v>
      </c>
      <c r="B1" s="81"/>
      <c r="C1" s="81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3"/>
      <c r="AT1" s="81" t="s">
        <v>627</v>
      </c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3"/>
    </row>
    <row r="2" customFormat="false" ht="25.5" hidden="false" customHeight="true" outlineLevel="0" collapsed="false">
      <c r="A2" s="84" t="s">
        <v>461</v>
      </c>
      <c r="B2" s="84" t="n">
        <v>1</v>
      </c>
      <c r="C2" s="84"/>
      <c r="D2" s="84"/>
      <c r="E2" s="84" t="n">
        <v>2</v>
      </c>
      <c r="F2" s="84"/>
      <c r="G2" s="84"/>
      <c r="H2" s="84" t="n">
        <v>3</v>
      </c>
      <c r="I2" s="84"/>
      <c r="J2" s="84"/>
      <c r="K2" s="84" t="n">
        <v>4</v>
      </c>
      <c r="L2" s="84"/>
      <c r="M2" s="84"/>
      <c r="N2" s="84" t="n">
        <v>5</v>
      </c>
      <c r="O2" s="84"/>
      <c r="P2" s="84"/>
      <c r="Q2" s="84" t="n">
        <v>6</v>
      </c>
      <c r="R2" s="84"/>
      <c r="S2" s="84"/>
      <c r="T2" s="84" t="n">
        <v>7</v>
      </c>
      <c r="U2" s="84"/>
      <c r="V2" s="84"/>
      <c r="W2" s="84" t="n">
        <v>8</v>
      </c>
      <c r="X2" s="84"/>
      <c r="Y2" s="84"/>
      <c r="Z2" s="84" t="n">
        <v>9</v>
      </c>
      <c r="AA2" s="84"/>
      <c r="AB2" s="84"/>
      <c r="AC2" s="84" t="n">
        <v>0</v>
      </c>
      <c r="AD2" s="84"/>
      <c r="AE2" s="84"/>
      <c r="AF2" s="84" t="s">
        <v>462</v>
      </c>
      <c r="AG2" s="84"/>
      <c r="AH2" s="84"/>
      <c r="AI2" s="84" t="s">
        <v>463</v>
      </c>
      <c r="AJ2" s="84"/>
      <c r="AK2" s="84"/>
      <c r="AL2" s="84" t="s">
        <v>464</v>
      </c>
      <c r="AM2" s="84"/>
      <c r="AN2" s="84"/>
      <c r="AO2" s="84" t="s">
        <v>465</v>
      </c>
      <c r="AP2" s="84"/>
      <c r="AQ2" s="84"/>
      <c r="AR2" s="84" t="s">
        <v>457</v>
      </c>
      <c r="AT2" s="84" t="s">
        <v>461</v>
      </c>
      <c r="AU2" s="84" t="n">
        <v>1</v>
      </c>
      <c r="AV2" s="84"/>
      <c r="AW2" s="84"/>
      <c r="AX2" s="84" t="n">
        <v>2</v>
      </c>
      <c r="AY2" s="84"/>
      <c r="AZ2" s="84"/>
      <c r="BA2" s="84" t="n">
        <v>3</v>
      </c>
      <c r="BB2" s="84"/>
      <c r="BC2" s="84"/>
      <c r="BD2" s="84" t="n">
        <v>4</v>
      </c>
      <c r="BE2" s="84"/>
      <c r="BF2" s="84"/>
      <c r="BG2" s="84" t="n">
        <v>5</v>
      </c>
      <c r="BH2" s="84"/>
      <c r="BI2" s="84"/>
      <c r="BJ2" s="84" t="n">
        <v>6</v>
      </c>
      <c r="BK2" s="84"/>
      <c r="BL2" s="84"/>
      <c r="BM2" s="84" t="n">
        <v>7</v>
      </c>
      <c r="BN2" s="84"/>
      <c r="BO2" s="84"/>
      <c r="BP2" s="84" t="n">
        <v>8</v>
      </c>
      <c r="BQ2" s="84"/>
      <c r="BR2" s="84"/>
      <c r="BS2" s="84" t="n">
        <v>9</v>
      </c>
      <c r="BT2" s="84"/>
      <c r="BU2" s="84"/>
      <c r="BV2" s="84" t="n">
        <v>0</v>
      </c>
      <c r="BW2" s="84"/>
      <c r="BX2" s="84"/>
      <c r="BY2" s="84" t="s">
        <v>462</v>
      </c>
      <c r="BZ2" s="84"/>
      <c r="CA2" s="84"/>
      <c r="CB2" s="84" t="s">
        <v>463</v>
      </c>
      <c r="CC2" s="84"/>
      <c r="CD2" s="84"/>
      <c r="CE2" s="84" t="s">
        <v>464</v>
      </c>
      <c r="CF2" s="84"/>
      <c r="CG2" s="84"/>
      <c r="CH2" s="84" t="s">
        <v>465</v>
      </c>
      <c r="CI2" s="84"/>
      <c r="CJ2" s="84"/>
      <c r="CK2" s="84" t="s">
        <v>457</v>
      </c>
    </row>
    <row r="3" customFormat="false" ht="25.5" hidden="false" customHeight="true" outlineLevel="0" collapsed="false">
      <c r="A3" s="84" t="s">
        <v>466</v>
      </c>
      <c r="B3" s="84"/>
      <c r="C3" s="84" t="s">
        <v>10</v>
      </c>
      <c r="D3" s="84"/>
      <c r="E3" s="84"/>
      <c r="F3" s="84" t="s">
        <v>6</v>
      </c>
      <c r="G3" s="84"/>
      <c r="H3" s="84"/>
      <c r="I3" s="84" t="s">
        <v>11</v>
      </c>
      <c r="J3" s="84"/>
      <c r="K3" s="84"/>
      <c r="L3" s="84" t="s">
        <v>209</v>
      </c>
      <c r="M3" s="84"/>
      <c r="N3" s="84"/>
      <c r="O3" s="84" t="s">
        <v>105</v>
      </c>
      <c r="P3" s="84"/>
      <c r="Q3" s="84"/>
      <c r="R3" s="84" t="s">
        <v>198</v>
      </c>
      <c r="S3" s="84"/>
      <c r="T3" s="84"/>
      <c r="U3" s="84" t="s">
        <v>14</v>
      </c>
      <c r="V3" s="84"/>
      <c r="W3" s="84"/>
      <c r="X3" s="84" t="s">
        <v>515</v>
      </c>
      <c r="Y3" s="84"/>
      <c r="Z3" s="84"/>
      <c r="AA3" s="84" t="s">
        <v>45</v>
      </c>
      <c r="AB3" s="84"/>
      <c r="AC3" s="84"/>
      <c r="AD3" s="84" t="s">
        <v>46</v>
      </c>
      <c r="AE3" s="84"/>
      <c r="AF3" s="84"/>
      <c r="AG3" s="84" t="s">
        <v>467</v>
      </c>
      <c r="AH3" s="84"/>
      <c r="AI3" s="84"/>
      <c r="AJ3" s="84" t="s">
        <v>468</v>
      </c>
      <c r="AK3" s="84"/>
      <c r="AL3" s="84"/>
      <c r="AM3" s="84" t="s">
        <v>469</v>
      </c>
      <c r="AN3" s="84"/>
      <c r="AO3" s="84"/>
      <c r="AP3" s="84"/>
      <c r="AQ3" s="84"/>
      <c r="AR3" s="84" t="s">
        <v>458</v>
      </c>
      <c r="AT3" s="84" t="s">
        <v>466</v>
      </c>
      <c r="AU3" s="84"/>
      <c r="AV3" s="84" t="s">
        <v>10</v>
      </c>
      <c r="AW3" s="84"/>
      <c r="AX3" s="84"/>
      <c r="AY3" s="84" t="s">
        <v>6</v>
      </c>
      <c r="AZ3" s="84"/>
      <c r="BA3" s="84"/>
      <c r="BB3" s="84" t="s">
        <v>11</v>
      </c>
      <c r="BC3" s="84"/>
      <c r="BD3" s="84"/>
      <c r="BE3" s="84" t="s">
        <v>209</v>
      </c>
      <c r="BF3" s="84"/>
      <c r="BG3" s="84"/>
      <c r="BH3" s="84" t="s">
        <v>105</v>
      </c>
      <c r="BI3" s="84"/>
      <c r="BJ3" s="84"/>
      <c r="BK3" s="84" t="s">
        <v>198</v>
      </c>
      <c r="BL3" s="84"/>
      <c r="BM3" s="84"/>
      <c r="BN3" s="84" t="s">
        <v>14</v>
      </c>
      <c r="BO3" s="84"/>
      <c r="BP3" s="84"/>
      <c r="BQ3" s="84" t="s">
        <v>515</v>
      </c>
      <c r="BR3" s="84"/>
      <c r="BS3" s="84"/>
      <c r="BT3" s="84" t="s">
        <v>45</v>
      </c>
      <c r="BU3" s="84"/>
      <c r="BV3" s="84"/>
      <c r="BW3" s="84" t="s">
        <v>46</v>
      </c>
      <c r="BX3" s="84"/>
      <c r="BY3" s="84"/>
      <c r="BZ3" s="84" t="s">
        <v>467</v>
      </c>
      <c r="CA3" s="84"/>
      <c r="CB3" s="84"/>
      <c r="CC3" s="84" t="s">
        <v>468</v>
      </c>
      <c r="CD3" s="84"/>
      <c r="CE3" s="84"/>
      <c r="CF3" s="84" t="s">
        <v>469</v>
      </c>
      <c r="CG3" s="84"/>
      <c r="CH3" s="84"/>
      <c r="CI3" s="84"/>
      <c r="CJ3" s="84"/>
      <c r="CK3" s="84" t="s">
        <v>458</v>
      </c>
    </row>
    <row r="4" customFormat="false" ht="25.5" hidden="false" customHeight="true" outlineLevel="0" collapsed="false">
      <c r="A4" s="85" t="s">
        <v>470</v>
      </c>
      <c r="B4" s="85"/>
      <c r="C4" s="85"/>
      <c r="D4" s="84" t="s">
        <v>1</v>
      </c>
      <c r="E4" s="84"/>
      <c r="F4" s="84"/>
      <c r="G4" s="84" t="s">
        <v>8</v>
      </c>
      <c r="H4" s="84"/>
      <c r="I4" s="84"/>
      <c r="J4" s="84" t="s">
        <v>284</v>
      </c>
      <c r="K4" s="84"/>
      <c r="L4" s="84"/>
      <c r="M4" s="86" t="s">
        <v>47</v>
      </c>
      <c r="N4" s="86"/>
      <c r="O4" s="86"/>
      <c r="P4" s="84" t="s">
        <v>243</v>
      </c>
      <c r="Q4" s="84"/>
      <c r="R4" s="84"/>
      <c r="S4" s="84" t="s">
        <v>16</v>
      </c>
      <c r="T4" s="84"/>
      <c r="U4" s="84"/>
      <c r="V4" s="86" t="s">
        <v>12</v>
      </c>
      <c r="W4" s="86"/>
      <c r="X4" s="86"/>
      <c r="Y4" s="84" t="s">
        <v>4</v>
      </c>
      <c r="Z4" s="84"/>
      <c r="AA4" s="84"/>
      <c r="AB4" s="84" t="s">
        <v>5</v>
      </c>
      <c r="AC4" s="84"/>
      <c r="AD4" s="84"/>
      <c r="AE4" s="84" t="s">
        <v>3</v>
      </c>
      <c r="AF4" s="84"/>
      <c r="AG4" s="84"/>
      <c r="AH4" s="84" t="s">
        <v>471</v>
      </c>
      <c r="AI4" s="84"/>
      <c r="AJ4" s="84"/>
      <c r="AK4" s="84" t="s">
        <v>472</v>
      </c>
      <c r="AL4" s="84"/>
      <c r="AM4" s="84"/>
      <c r="AN4" s="105"/>
      <c r="AO4" s="105"/>
      <c r="AP4" s="105"/>
      <c r="AQ4" s="105"/>
      <c r="AR4" s="84" t="s">
        <v>460</v>
      </c>
      <c r="AT4" s="85" t="s">
        <v>473</v>
      </c>
      <c r="AU4" s="85"/>
      <c r="AV4" s="85"/>
      <c r="AW4" s="84" t="s">
        <v>1</v>
      </c>
      <c r="AX4" s="84"/>
      <c r="AY4" s="84"/>
      <c r="AZ4" s="84" t="s">
        <v>8</v>
      </c>
      <c r="BA4" s="84"/>
      <c r="BB4" s="84"/>
      <c r="BC4" s="84" t="s">
        <v>284</v>
      </c>
      <c r="BD4" s="84"/>
      <c r="BE4" s="84"/>
      <c r="BF4" s="86" t="s">
        <v>47</v>
      </c>
      <c r="BG4" s="86"/>
      <c r="BH4" s="86"/>
      <c r="BI4" s="84" t="s">
        <v>243</v>
      </c>
      <c r="BJ4" s="84"/>
      <c r="BK4" s="84"/>
      <c r="BL4" s="84" t="s">
        <v>16</v>
      </c>
      <c r="BM4" s="84"/>
      <c r="BN4" s="84"/>
      <c r="BO4" s="86" t="s">
        <v>12</v>
      </c>
      <c r="BP4" s="86"/>
      <c r="BQ4" s="86"/>
      <c r="BR4" s="84" t="s">
        <v>4</v>
      </c>
      <c r="BS4" s="84"/>
      <c r="BT4" s="84"/>
      <c r="BU4" s="84" t="s">
        <v>5</v>
      </c>
      <c r="BV4" s="84"/>
      <c r="BW4" s="84"/>
      <c r="BX4" s="84" t="s">
        <v>3</v>
      </c>
      <c r="BY4" s="84"/>
      <c r="BZ4" s="84"/>
      <c r="CA4" s="84" t="s">
        <v>471</v>
      </c>
      <c r="CB4" s="84"/>
      <c r="CC4" s="84"/>
      <c r="CD4" s="84" t="s">
        <v>472</v>
      </c>
      <c r="CE4" s="84"/>
      <c r="CF4" s="84"/>
      <c r="CG4" s="105"/>
      <c r="CH4" s="105"/>
      <c r="CI4" s="105"/>
      <c r="CJ4" s="105"/>
      <c r="CK4" s="84" t="s">
        <v>460</v>
      </c>
    </row>
    <row r="5" customFormat="false" ht="25.5" hidden="false" customHeight="true" outlineLevel="0" collapsed="false">
      <c r="A5" s="85" t="s">
        <v>474</v>
      </c>
      <c r="B5" s="85"/>
      <c r="C5" s="85"/>
      <c r="D5" s="85"/>
      <c r="E5" s="85" t="s">
        <v>7</v>
      </c>
      <c r="F5" s="85"/>
      <c r="G5" s="85"/>
      <c r="H5" s="85" t="s">
        <v>384</v>
      </c>
      <c r="I5" s="85"/>
      <c r="J5" s="85"/>
      <c r="K5" s="85" t="s">
        <v>353</v>
      </c>
      <c r="L5" s="85"/>
      <c r="M5" s="85"/>
      <c r="N5" s="85" t="s">
        <v>9</v>
      </c>
      <c r="O5" s="85"/>
      <c r="P5" s="85"/>
      <c r="Q5" s="85" t="s">
        <v>307</v>
      </c>
      <c r="R5" s="85"/>
      <c r="S5" s="85"/>
      <c r="T5" s="85" t="s">
        <v>13</v>
      </c>
      <c r="U5" s="85"/>
      <c r="V5" s="85"/>
      <c r="W5" s="85" t="s">
        <v>15</v>
      </c>
      <c r="X5" s="85"/>
      <c r="Y5" s="85"/>
      <c r="Z5" s="85" t="s">
        <v>475</v>
      </c>
      <c r="AA5" s="85"/>
      <c r="AB5" s="85"/>
      <c r="AC5" s="84" t="s">
        <v>476</v>
      </c>
      <c r="AD5" s="84"/>
      <c r="AE5" s="84"/>
      <c r="AF5" s="84" t="s">
        <v>477</v>
      </c>
      <c r="AG5" s="84"/>
      <c r="AH5" s="84"/>
      <c r="AI5" s="84" t="s">
        <v>487</v>
      </c>
      <c r="AJ5" s="84"/>
      <c r="AK5" s="84" t="s">
        <v>474</v>
      </c>
      <c r="AL5" s="84" t="s">
        <v>474</v>
      </c>
      <c r="AM5" s="84"/>
      <c r="AN5" s="84"/>
      <c r="AO5" s="84"/>
      <c r="AP5" s="84"/>
      <c r="AQ5" s="84"/>
      <c r="AR5" s="106" t="s">
        <v>628</v>
      </c>
      <c r="AT5" s="85" t="s">
        <v>474</v>
      </c>
      <c r="AU5" s="85"/>
      <c r="AV5" s="85"/>
      <c r="AW5" s="85"/>
      <c r="AX5" s="85" t="s">
        <v>7</v>
      </c>
      <c r="AY5" s="85"/>
      <c r="AZ5" s="85"/>
      <c r="BA5" s="85" t="s">
        <v>384</v>
      </c>
      <c r="BB5" s="85"/>
      <c r="BC5" s="85"/>
      <c r="BD5" s="85" t="s">
        <v>353</v>
      </c>
      <c r="BE5" s="85"/>
      <c r="BF5" s="85"/>
      <c r="BG5" s="85" t="s">
        <v>9</v>
      </c>
      <c r="BH5" s="85"/>
      <c r="BI5" s="85"/>
      <c r="BJ5" s="85" t="s">
        <v>307</v>
      </c>
      <c r="BK5" s="85"/>
      <c r="BL5" s="85"/>
      <c r="BM5" s="85" t="s">
        <v>13</v>
      </c>
      <c r="BN5" s="85"/>
      <c r="BO5" s="85"/>
      <c r="BP5" s="85" t="s">
        <v>15</v>
      </c>
      <c r="BQ5" s="85"/>
      <c r="BR5" s="85"/>
      <c r="BS5" s="85" t="s">
        <v>475</v>
      </c>
      <c r="BT5" s="85"/>
      <c r="BU5" s="85"/>
      <c r="BV5" s="84" t="s">
        <v>476</v>
      </c>
      <c r="BW5" s="84"/>
      <c r="BX5" s="84"/>
      <c r="BY5" s="84" t="s">
        <v>477</v>
      </c>
      <c r="BZ5" s="84"/>
      <c r="CA5" s="84"/>
      <c r="CB5" s="84" t="s">
        <v>487</v>
      </c>
      <c r="CC5" s="84"/>
      <c r="CD5" s="84" t="s">
        <v>474</v>
      </c>
      <c r="CE5" s="84" t="s">
        <v>474</v>
      </c>
      <c r="CF5" s="84"/>
      <c r="CG5" s="84"/>
      <c r="CH5" s="84"/>
      <c r="CI5" s="84"/>
      <c r="CJ5" s="84"/>
      <c r="CK5" s="106" t="s">
        <v>628</v>
      </c>
    </row>
    <row r="6" customFormat="false" ht="12.8" hidden="false" customHeight="true" outlineLevel="0" collapsed="false">
      <c r="A6" s="85" t="s">
        <v>478</v>
      </c>
      <c r="B6" s="85" t="s">
        <v>480</v>
      </c>
      <c r="C6" s="85" t="s">
        <v>480</v>
      </c>
      <c r="D6" s="85"/>
      <c r="E6" s="85"/>
      <c r="F6" s="85" t="s">
        <v>481</v>
      </c>
      <c r="G6" s="85"/>
      <c r="H6" s="85"/>
      <c r="I6" s="85" t="s">
        <v>482</v>
      </c>
      <c r="J6" s="85"/>
      <c r="K6" s="85"/>
      <c r="L6" s="85" t="s">
        <v>484</v>
      </c>
      <c r="M6" s="85" t="s">
        <v>483</v>
      </c>
      <c r="N6" s="85"/>
      <c r="O6" s="85" t="s">
        <v>484</v>
      </c>
      <c r="P6" s="85"/>
      <c r="Q6" s="85"/>
      <c r="R6" s="85" t="s">
        <v>484</v>
      </c>
      <c r="S6" s="85"/>
      <c r="T6" s="85" t="s">
        <v>483</v>
      </c>
      <c r="U6" s="85"/>
      <c r="V6" s="85" t="s">
        <v>484</v>
      </c>
      <c r="W6" s="85"/>
      <c r="X6" s="85" t="s">
        <v>629</v>
      </c>
      <c r="Y6" s="85" t="s">
        <v>629</v>
      </c>
      <c r="Z6" s="85"/>
      <c r="AA6" s="85"/>
      <c r="AB6" s="85" t="s">
        <v>478</v>
      </c>
      <c r="AC6" s="85"/>
      <c r="AD6" s="85"/>
      <c r="AE6" s="85" t="s">
        <v>402</v>
      </c>
      <c r="AF6" s="85"/>
      <c r="AG6" s="85"/>
      <c r="AH6" s="85" t="s">
        <v>488</v>
      </c>
      <c r="AI6" s="85"/>
      <c r="AJ6" s="85"/>
      <c r="AK6" s="85" t="s">
        <v>400</v>
      </c>
      <c r="AL6" s="85"/>
      <c r="AM6" s="85"/>
      <c r="AN6" s="85" t="s">
        <v>537</v>
      </c>
      <c r="AO6" s="85" t="s">
        <v>487</v>
      </c>
      <c r="AP6" s="85"/>
      <c r="AQ6" s="85" t="s">
        <v>474</v>
      </c>
      <c r="AR6" s="84" t="s">
        <v>479</v>
      </c>
      <c r="AT6" s="85" t="s">
        <v>478</v>
      </c>
      <c r="AU6" s="85" t="s">
        <v>480</v>
      </c>
      <c r="AV6" s="85" t="s">
        <v>480</v>
      </c>
      <c r="AW6" s="85"/>
      <c r="AX6" s="85"/>
      <c r="AY6" s="85" t="s">
        <v>481</v>
      </c>
      <c r="AZ6" s="85"/>
      <c r="BA6" s="85"/>
      <c r="BB6" s="85" t="s">
        <v>482</v>
      </c>
      <c r="BC6" s="85"/>
      <c r="BD6" s="85"/>
      <c r="BE6" s="85" t="s">
        <v>484</v>
      </c>
      <c r="BF6" s="85" t="s">
        <v>483</v>
      </c>
      <c r="BG6" s="85"/>
      <c r="BH6" s="85" t="s">
        <v>484</v>
      </c>
      <c r="BI6" s="85"/>
      <c r="BJ6" s="85"/>
      <c r="BK6" s="85" t="s">
        <v>484</v>
      </c>
      <c r="BL6" s="85"/>
      <c r="BM6" s="85" t="s">
        <v>483</v>
      </c>
      <c r="BN6" s="85"/>
      <c r="BO6" s="85" t="s">
        <v>484</v>
      </c>
      <c r="BP6" s="85"/>
      <c r="BQ6" s="85" t="s">
        <v>629</v>
      </c>
      <c r="BR6" s="85" t="s">
        <v>557</v>
      </c>
      <c r="BS6" s="85"/>
      <c r="BT6" s="85"/>
      <c r="BU6" s="85" t="s">
        <v>478</v>
      </c>
      <c r="BV6" s="85"/>
      <c r="BW6" s="85"/>
      <c r="BX6" s="85" t="s">
        <v>402</v>
      </c>
      <c r="BY6" s="85"/>
      <c r="BZ6" s="85"/>
      <c r="CA6" s="85" t="s">
        <v>488</v>
      </c>
      <c r="CB6" s="85"/>
      <c r="CC6" s="85"/>
      <c r="CD6" s="85" t="s">
        <v>400</v>
      </c>
      <c r="CE6" s="85"/>
      <c r="CF6" s="85"/>
      <c r="CG6" s="85" t="s">
        <v>537</v>
      </c>
      <c r="CH6" s="85" t="s">
        <v>487</v>
      </c>
      <c r="CI6" s="85"/>
      <c r="CJ6" s="85" t="s">
        <v>474</v>
      </c>
      <c r="CK6" s="84" t="s">
        <v>479</v>
      </c>
    </row>
    <row r="7" customFormat="false" ht="12.8" hidden="false" customHeight="true" outlineLevel="0" collapsed="false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4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4"/>
    </row>
    <row r="8" customFormat="false" ht="12.8" hidden="false" customHeight="true" outlineLevel="0" collapsed="false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</row>
    <row r="9" customFormat="false" ht="12.8" hidden="false" customHeight="true" outlineLevel="0" collapsed="false">
      <c r="A9" s="81" t="s">
        <v>630</v>
      </c>
      <c r="B9" s="81"/>
      <c r="C9" s="81"/>
      <c r="D9" s="82"/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3"/>
      <c r="AT9" s="81" t="s">
        <v>490</v>
      </c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3"/>
    </row>
    <row r="10" customFormat="false" ht="25.5" hidden="false" customHeight="true" outlineLevel="0" collapsed="false">
      <c r="A10" s="84" t="s">
        <v>461</v>
      </c>
      <c r="B10" s="84" t="n">
        <v>1</v>
      </c>
      <c r="C10" s="84"/>
      <c r="D10" s="84"/>
      <c r="E10" s="84" t="n">
        <v>2</v>
      </c>
      <c r="F10" s="84"/>
      <c r="G10" s="84"/>
      <c r="H10" s="84" t="n">
        <v>3</v>
      </c>
      <c r="I10" s="84"/>
      <c r="J10" s="84"/>
      <c r="K10" s="84" t="n">
        <v>4</v>
      </c>
      <c r="L10" s="84"/>
      <c r="M10" s="84"/>
      <c r="N10" s="84" t="n">
        <v>5</v>
      </c>
      <c r="O10" s="84"/>
      <c r="P10" s="84"/>
      <c r="Q10" s="84" t="n">
        <v>6</v>
      </c>
      <c r="R10" s="84"/>
      <c r="S10" s="84"/>
      <c r="T10" s="84" t="n">
        <v>7</v>
      </c>
      <c r="U10" s="84"/>
      <c r="V10" s="84"/>
      <c r="W10" s="84" t="n">
        <v>8</v>
      </c>
      <c r="X10" s="84"/>
      <c r="Y10" s="84"/>
      <c r="Z10" s="84" t="n">
        <v>9</v>
      </c>
      <c r="AA10" s="84"/>
      <c r="AB10" s="84"/>
      <c r="AC10" s="84" t="n">
        <v>0</v>
      </c>
      <c r="AD10" s="84"/>
      <c r="AE10" s="84"/>
      <c r="AF10" s="84" t="s">
        <v>462</v>
      </c>
      <c r="AG10" s="84"/>
      <c r="AH10" s="84"/>
      <c r="AI10" s="84" t="s">
        <v>463</v>
      </c>
      <c r="AJ10" s="84"/>
      <c r="AK10" s="84"/>
      <c r="AL10" s="84" t="s">
        <v>464</v>
      </c>
      <c r="AM10" s="84"/>
      <c r="AN10" s="84"/>
      <c r="AO10" s="84" t="s">
        <v>465</v>
      </c>
      <c r="AP10" s="84"/>
      <c r="AQ10" s="84"/>
      <c r="AR10" s="84" t="s">
        <v>457</v>
      </c>
      <c r="AT10" s="84"/>
      <c r="AU10" s="89" t="s">
        <v>491</v>
      </c>
      <c r="AV10" s="89"/>
      <c r="AW10" s="89"/>
      <c r="AX10" s="89" t="s">
        <v>492</v>
      </c>
      <c r="AY10" s="89"/>
      <c r="AZ10" s="89"/>
      <c r="BA10" s="89" t="s">
        <v>493</v>
      </c>
      <c r="BB10" s="89"/>
      <c r="BC10" s="89"/>
      <c r="BD10" s="89" t="s">
        <v>494</v>
      </c>
      <c r="BE10" s="89"/>
      <c r="BF10" s="89"/>
      <c r="BG10" s="89" t="s">
        <v>495</v>
      </c>
      <c r="BH10" s="89"/>
      <c r="BI10" s="89"/>
      <c r="BJ10" s="89" t="s">
        <v>496</v>
      </c>
      <c r="BK10" s="89"/>
      <c r="BL10" s="89"/>
      <c r="BM10" s="89" t="s">
        <v>497</v>
      </c>
      <c r="BN10" s="89"/>
      <c r="BO10" s="89"/>
      <c r="BP10" s="89" t="s">
        <v>498</v>
      </c>
      <c r="BQ10" s="89"/>
      <c r="BR10" s="89"/>
      <c r="BS10" s="89" t="s">
        <v>499</v>
      </c>
      <c r="BT10" s="89"/>
      <c r="BU10" s="89"/>
      <c r="BV10" s="84"/>
      <c r="BW10" s="84"/>
      <c r="BX10" s="84"/>
      <c r="BY10" s="89" t="s">
        <v>500</v>
      </c>
      <c r="BZ10" s="89"/>
      <c r="CA10" s="89"/>
      <c r="CB10" s="89" t="s">
        <v>501</v>
      </c>
      <c r="CC10" s="89"/>
      <c r="CD10" s="89"/>
      <c r="CE10" s="89" t="s">
        <v>502</v>
      </c>
      <c r="CF10" s="89"/>
      <c r="CG10" s="89"/>
      <c r="CH10" s="84"/>
      <c r="CI10" s="84"/>
      <c r="CJ10" s="84"/>
      <c r="CK10" s="84" t="s">
        <v>457</v>
      </c>
    </row>
    <row r="11" customFormat="false" ht="25.5" hidden="false" customHeight="true" outlineLevel="0" collapsed="false">
      <c r="A11" s="84" t="s">
        <v>466</v>
      </c>
      <c r="B11" s="84"/>
      <c r="C11" s="84" t="s">
        <v>10</v>
      </c>
      <c r="D11" s="84"/>
      <c r="E11" s="84"/>
      <c r="F11" s="84" t="s">
        <v>6</v>
      </c>
      <c r="G11" s="84"/>
      <c r="H11" s="84"/>
      <c r="I11" s="84" t="s">
        <v>11</v>
      </c>
      <c r="J11" s="84"/>
      <c r="K11" s="84"/>
      <c r="L11" s="84" t="s">
        <v>209</v>
      </c>
      <c r="M11" s="84"/>
      <c r="N11" s="84"/>
      <c r="O11" s="84" t="s">
        <v>105</v>
      </c>
      <c r="P11" s="84"/>
      <c r="Q11" s="84"/>
      <c r="R11" s="84" t="s">
        <v>198</v>
      </c>
      <c r="S11" s="84"/>
      <c r="T11" s="84"/>
      <c r="U11" s="84" t="s">
        <v>14</v>
      </c>
      <c r="V11" s="84"/>
      <c r="W11" s="84"/>
      <c r="X11" s="84" t="s">
        <v>515</v>
      </c>
      <c r="Y11" s="84"/>
      <c r="Z11" s="84"/>
      <c r="AA11" s="84" t="s">
        <v>45</v>
      </c>
      <c r="AB11" s="84"/>
      <c r="AC11" s="84"/>
      <c r="AD11" s="84" t="s">
        <v>46</v>
      </c>
      <c r="AE11" s="84"/>
      <c r="AF11" s="84"/>
      <c r="AG11" s="84" t="s">
        <v>467</v>
      </c>
      <c r="AH11" s="84"/>
      <c r="AI11" s="84"/>
      <c r="AJ11" s="84" t="s">
        <v>468</v>
      </c>
      <c r="AK11" s="84"/>
      <c r="AL11" s="84"/>
      <c r="AM11" s="84" t="s">
        <v>469</v>
      </c>
      <c r="AN11" s="84"/>
      <c r="AO11" s="84"/>
      <c r="AP11" s="84"/>
      <c r="AQ11" s="84"/>
      <c r="AR11" s="84" t="s">
        <v>458</v>
      </c>
      <c r="AT11" s="84"/>
      <c r="AU11" s="84"/>
      <c r="AV11" s="89" t="s">
        <v>509</v>
      </c>
      <c r="AW11" s="89"/>
      <c r="AX11" s="89"/>
      <c r="AY11" s="89" t="s">
        <v>510</v>
      </c>
      <c r="AZ11" s="89"/>
      <c r="BA11" s="89"/>
      <c r="BB11" s="89" t="s">
        <v>511</v>
      </c>
      <c r="BC11" s="89"/>
      <c r="BD11" s="89"/>
      <c r="BE11" s="89" t="s">
        <v>53</v>
      </c>
      <c r="BF11" s="89"/>
      <c r="BG11" s="89"/>
      <c r="BH11" s="89" t="s">
        <v>512</v>
      </c>
      <c r="BI11" s="89"/>
      <c r="BJ11" s="89"/>
      <c r="BK11" s="89" t="s">
        <v>513</v>
      </c>
      <c r="BL11" s="89"/>
      <c r="BM11" s="89"/>
      <c r="BN11" s="89" t="s">
        <v>514</v>
      </c>
      <c r="BO11" s="89"/>
      <c r="BP11" s="89"/>
      <c r="BQ11" s="89" t="s">
        <v>515</v>
      </c>
      <c r="BR11" s="89"/>
      <c r="BS11" s="89"/>
      <c r="BT11" s="89" t="s">
        <v>516</v>
      </c>
      <c r="BU11" s="89"/>
      <c r="BV11" s="89"/>
      <c r="BW11" s="89" t="s">
        <v>517</v>
      </c>
      <c r="BX11" s="89"/>
      <c r="BY11" s="89"/>
      <c r="BZ11" s="89" t="s">
        <v>518</v>
      </c>
      <c r="CA11" s="89"/>
      <c r="CB11" s="89"/>
      <c r="CC11" s="89" t="s">
        <v>519</v>
      </c>
      <c r="CD11" s="89"/>
      <c r="CE11" s="89"/>
      <c r="CF11" s="84"/>
      <c r="CG11" s="84"/>
      <c r="CH11" s="84"/>
      <c r="CI11" s="84"/>
      <c r="CJ11" s="84"/>
      <c r="CK11" s="84" t="s">
        <v>458</v>
      </c>
    </row>
    <row r="12" customFormat="false" ht="25.5" hidden="false" customHeight="true" outlineLevel="0" collapsed="false">
      <c r="A12" s="85" t="s">
        <v>470</v>
      </c>
      <c r="B12" s="85"/>
      <c r="C12" s="85"/>
      <c r="D12" s="84" t="s">
        <v>1</v>
      </c>
      <c r="E12" s="84"/>
      <c r="F12" s="84"/>
      <c r="G12" s="84" t="s">
        <v>8</v>
      </c>
      <c r="H12" s="84"/>
      <c r="I12" s="84"/>
      <c r="J12" s="84" t="s">
        <v>284</v>
      </c>
      <c r="K12" s="84"/>
      <c r="L12" s="84"/>
      <c r="M12" s="86" t="s">
        <v>47</v>
      </c>
      <c r="N12" s="86"/>
      <c r="O12" s="86"/>
      <c r="P12" s="84" t="s">
        <v>243</v>
      </c>
      <c r="Q12" s="84"/>
      <c r="R12" s="84"/>
      <c r="S12" s="84" t="s">
        <v>16</v>
      </c>
      <c r="T12" s="84"/>
      <c r="U12" s="84"/>
      <c r="V12" s="86" t="s">
        <v>12</v>
      </c>
      <c r="W12" s="86"/>
      <c r="X12" s="86"/>
      <c r="Y12" s="84" t="s">
        <v>4</v>
      </c>
      <c r="Z12" s="84"/>
      <c r="AA12" s="84"/>
      <c r="AB12" s="84" t="s">
        <v>5</v>
      </c>
      <c r="AC12" s="84"/>
      <c r="AD12" s="84"/>
      <c r="AE12" s="84" t="s">
        <v>3</v>
      </c>
      <c r="AF12" s="84"/>
      <c r="AG12" s="84"/>
      <c r="AH12" s="84" t="s">
        <v>471</v>
      </c>
      <c r="AI12" s="84"/>
      <c r="AJ12" s="84"/>
      <c r="AK12" s="84" t="s">
        <v>472</v>
      </c>
      <c r="AL12" s="84"/>
      <c r="AM12" s="84"/>
      <c r="AN12" s="105"/>
      <c r="AO12" s="105"/>
      <c r="AP12" s="105"/>
      <c r="AQ12" s="105"/>
      <c r="AR12" s="84" t="s">
        <v>460</v>
      </c>
      <c r="AT12" s="85"/>
      <c r="AU12" s="85"/>
      <c r="AV12" s="85"/>
      <c r="AW12" s="89" t="s">
        <v>526</v>
      </c>
      <c r="AX12" s="89"/>
      <c r="AY12" s="89"/>
      <c r="AZ12" s="89" t="s">
        <v>527</v>
      </c>
      <c r="BA12" s="89"/>
      <c r="BB12" s="89"/>
      <c r="BC12" s="89" t="s">
        <v>528</v>
      </c>
      <c r="BD12" s="89"/>
      <c r="BE12" s="89"/>
      <c r="BF12" s="90" t="s">
        <v>529</v>
      </c>
      <c r="BG12" s="90"/>
      <c r="BH12" s="90"/>
      <c r="BI12" s="89" t="s">
        <v>530</v>
      </c>
      <c r="BJ12" s="89"/>
      <c r="BK12" s="89"/>
      <c r="BL12" s="89" t="s">
        <v>531</v>
      </c>
      <c r="BM12" s="89"/>
      <c r="BN12" s="89"/>
      <c r="BO12" s="90" t="s">
        <v>532</v>
      </c>
      <c r="BP12" s="90"/>
      <c r="BQ12" s="90"/>
      <c r="BR12" s="89" t="s">
        <v>533</v>
      </c>
      <c r="BS12" s="89"/>
      <c r="BT12" s="89"/>
      <c r="BU12" s="89" t="s">
        <v>78</v>
      </c>
      <c r="BV12" s="89"/>
      <c r="BW12" s="89"/>
      <c r="BX12" s="89" t="s">
        <v>534</v>
      </c>
      <c r="BY12" s="89"/>
      <c r="BZ12" s="89"/>
      <c r="CA12" s="89" t="s">
        <v>535</v>
      </c>
      <c r="CB12" s="89"/>
      <c r="CC12" s="89"/>
      <c r="CD12" s="89" t="s">
        <v>536</v>
      </c>
      <c r="CE12" s="89"/>
      <c r="CF12" s="89"/>
      <c r="CG12" s="105"/>
      <c r="CH12" s="105"/>
      <c r="CI12" s="105"/>
      <c r="CJ12" s="105"/>
      <c r="CK12" s="84" t="s">
        <v>460</v>
      </c>
    </row>
    <row r="13" customFormat="false" ht="25.5" hidden="false" customHeight="true" outlineLevel="0" collapsed="false">
      <c r="A13" s="85" t="s">
        <v>474</v>
      </c>
      <c r="B13" s="85"/>
      <c r="C13" s="85"/>
      <c r="D13" s="85"/>
      <c r="E13" s="85" t="s">
        <v>7</v>
      </c>
      <c r="F13" s="85"/>
      <c r="G13" s="85"/>
      <c r="H13" s="85" t="s">
        <v>384</v>
      </c>
      <c r="I13" s="85"/>
      <c r="J13" s="85"/>
      <c r="K13" s="85" t="s">
        <v>353</v>
      </c>
      <c r="L13" s="85"/>
      <c r="M13" s="85"/>
      <c r="N13" s="85" t="s">
        <v>9</v>
      </c>
      <c r="O13" s="85"/>
      <c r="P13" s="85"/>
      <c r="Q13" s="85" t="s">
        <v>307</v>
      </c>
      <c r="R13" s="85"/>
      <c r="S13" s="85"/>
      <c r="T13" s="85" t="s">
        <v>13</v>
      </c>
      <c r="U13" s="85"/>
      <c r="V13" s="85"/>
      <c r="W13" s="85" t="s">
        <v>15</v>
      </c>
      <c r="X13" s="85"/>
      <c r="Y13" s="85"/>
      <c r="Z13" s="85" t="s">
        <v>475</v>
      </c>
      <c r="AA13" s="85"/>
      <c r="AB13" s="85"/>
      <c r="AC13" s="84" t="s">
        <v>476</v>
      </c>
      <c r="AD13" s="84"/>
      <c r="AE13" s="84"/>
      <c r="AF13" s="84" t="s">
        <v>477</v>
      </c>
      <c r="AG13" s="84"/>
      <c r="AH13" s="84"/>
      <c r="AI13" s="84" t="s">
        <v>487</v>
      </c>
      <c r="AJ13" s="84"/>
      <c r="AK13" s="84" t="s">
        <v>474</v>
      </c>
      <c r="AL13" s="84" t="s">
        <v>474</v>
      </c>
      <c r="AM13" s="84"/>
      <c r="AN13" s="84"/>
      <c r="AO13" s="84"/>
      <c r="AP13" s="84"/>
      <c r="AQ13" s="84"/>
      <c r="AR13" s="106" t="s">
        <v>628</v>
      </c>
      <c r="AT13" s="85"/>
      <c r="AU13" s="85"/>
      <c r="AV13" s="85"/>
      <c r="AW13" s="85"/>
      <c r="AX13" s="89" t="s">
        <v>541</v>
      </c>
      <c r="AY13" s="89"/>
      <c r="AZ13" s="89"/>
      <c r="BA13" s="89" t="s">
        <v>542</v>
      </c>
      <c r="BB13" s="89"/>
      <c r="BC13" s="89"/>
      <c r="BD13" s="89" t="s">
        <v>543</v>
      </c>
      <c r="BE13" s="89"/>
      <c r="BF13" s="89"/>
      <c r="BG13" s="89" t="s">
        <v>544</v>
      </c>
      <c r="BH13" s="89"/>
      <c r="BI13" s="89"/>
      <c r="BJ13" s="89" t="s">
        <v>545</v>
      </c>
      <c r="BK13" s="89"/>
      <c r="BL13" s="89"/>
      <c r="BM13" s="89" t="s">
        <v>546</v>
      </c>
      <c r="BN13" s="89"/>
      <c r="BO13" s="89"/>
      <c r="BP13" s="89" t="s">
        <v>547</v>
      </c>
      <c r="BQ13" s="89"/>
      <c r="BR13" s="89"/>
      <c r="BS13" s="89" t="s">
        <v>548</v>
      </c>
      <c r="BT13" s="89"/>
      <c r="BU13" s="89"/>
      <c r="BV13" s="89" t="s">
        <v>549</v>
      </c>
      <c r="BW13" s="89"/>
      <c r="BX13" s="89"/>
      <c r="BY13" s="89" t="s">
        <v>520</v>
      </c>
      <c r="BZ13" s="89"/>
      <c r="CA13" s="89"/>
      <c r="CB13" s="84"/>
      <c r="CC13" s="84"/>
      <c r="CD13" s="84"/>
      <c r="CE13" s="84"/>
      <c r="CF13" s="84"/>
      <c r="CG13" s="84"/>
      <c r="CH13" s="84"/>
      <c r="CI13" s="84"/>
      <c r="CJ13" s="84"/>
      <c r="CK13" s="106" t="s">
        <v>628</v>
      </c>
    </row>
    <row r="14" customFormat="false" ht="12.8" hidden="false" customHeight="false" outlineLevel="0" collapsed="false">
      <c r="A14" s="85" t="s">
        <v>478</v>
      </c>
      <c r="B14" s="85" t="s">
        <v>480</v>
      </c>
      <c r="C14" s="85" t="s">
        <v>480</v>
      </c>
      <c r="D14" s="85"/>
      <c r="E14" s="85"/>
      <c r="F14" s="85" t="s">
        <v>481</v>
      </c>
      <c r="G14" s="85"/>
      <c r="H14" s="85"/>
      <c r="I14" s="85" t="s">
        <v>482</v>
      </c>
      <c r="J14" s="85"/>
      <c r="K14" s="85"/>
      <c r="L14" s="85" t="s">
        <v>484</v>
      </c>
      <c r="M14" s="85" t="s">
        <v>483</v>
      </c>
      <c r="N14" s="85"/>
      <c r="O14" s="85" t="s">
        <v>484</v>
      </c>
      <c r="P14" s="85"/>
      <c r="Q14" s="85"/>
      <c r="R14" s="85" t="s">
        <v>484</v>
      </c>
      <c r="S14" s="85"/>
      <c r="T14" s="85" t="s">
        <v>483</v>
      </c>
      <c r="U14" s="85"/>
      <c r="V14" s="85" t="s">
        <v>484</v>
      </c>
      <c r="W14" s="85"/>
      <c r="X14" s="85" t="s">
        <v>629</v>
      </c>
      <c r="Y14" s="85" t="s">
        <v>629</v>
      </c>
      <c r="Z14" s="85"/>
      <c r="AA14" s="85"/>
      <c r="AB14" s="85" t="s">
        <v>478</v>
      </c>
      <c r="AC14" s="85"/>
      <c r="AD14" s="85"/>
      <c r="AE14" s="85" t="s">
        <v>402</v>
      </c>
      <c r="AF14" s="85"/>
      <c r="AG14" s="85"/>
      <c r="AH14" s="85" t="s">
        <v>488</v>
      </c>
      <c r="AI14" s="85"/>
      <c r="AJ14" s="85"/>
      <c r="AK14" s="85" t="s">
        <v>400</v>
      </c>
      <c r="AL14" s="85"/>
      <c r="AM14" s="85"/>
      <c r="AN14" s="85" t="s">
        <v>464</v>
      </c>
      <c r="AO14" s="85" t="s">
        <v>487</v>
      </c>
      <c r="AP14" s="85"/>
      <c r="AQ14" s="85" t="s">
        <v>474</v>
      </c>
      <c r="AR14" s="84" t="s">
        <v>479</v>
      </c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9" t="s">
        <v>537</v>
      </c>
      <c r="CH14" s="89"/>
      <c r="CI14" s="89"/>
      <c r="CJ14" s="89"/>
      <c r="CK14" s="84" t="s">
        <v>479</v>
      </c>
    </row>
    <row r="15" customFormat="false" ht="12.8" hidden="false" customHeight="false" outlineLevel="0" collapsed="false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4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9"/>
      <c r="CH15" s="89"/>
      <c r="CI15" s="89"/>
      <c r="CJ15" s="89"/>
      <c r="CK15" s="84"/>
    </row>
    <row r="16" customFormat="false" ht="12.8" hidden="false" customHeight="false" outlineLevel="0" collapsed="false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</row>
    <row r="17" customFormat="false" ht="13" hidden="false" customHeight="false" outlineLevel="0" collapsed="false">
      <c r="A17" s="80" t="s">
        <v>618</v>
      </c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3"/>
      <c r="AT17" s="91"/>
      <c r="AU17" s="91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3"/>
    </row>
    <row r="18" customFormat="false" ht="25.5" hidden="false" customHeight="true" outlineLevel="0" collapsed="false">
      <c r="A18" s="84" t="s">
        <v>631</v>
      </c>
      <c r="B18" s="58" t="s">
        <v>440</v>
      </c>
      <c r="C18" s="58"/>
      <c r="D18" s="58"/>
      <c r="E18" s="58" t="s">
        <v>441</v>
      </c>
      <c r="F18" s="58"/>
      <c r="G18" s="58"/>
      <c r="H18" s="58" t="s">
        <v>442</v>
      </c>
      <c r="I18" s="58"/>
      <c r="J18" s="58"/>
      <c r="K18" s="58" t="s">
        <v>443</v>
      </c>
      <c r="L18" s="58"/>
      <c r="M18" s="58"/>
      <c r="N18" s="58" t="s">
        <v>444</v>
      </c>
      <c r="O18" s="58"/>
      <c r="P18" s="58"/>
      <c r="Q18" s="58" t="s">
        <v>445</v>
      </c>
      <c r="R18" s="58"/>
      <c r="S18" s="58"/>
      <c r="T18" s="58" t="s">
        <v>446</v>
      </c>
      <c r="U18" s="58"/>
      <c r="V18" s="58"/>
      <c r="W18" s="58" t="s">
        <v>447</v>
      </c>
      <c r="X18" s="58"/>
      <c r="Y18" s="58"/>
      <c r="Z18" s="58" t="s">
        <v>448</v>
      </c>
      <c r="AA18" s="58"/>
      <c r="AB18" s="58"/>
      <c r="AC18" s="58" t="s">
        <v>449</v>
      </c>
      <c r="AD18" s="58"/>
      <c r="AE18" s="58"/>
      <c r="AF18" s="58" t="s">
        <v>450</v>
      </c>
      <c r="AG18" s="58"/>
      <c r="AH18" s="58"/>
      <c r="AI18" s="58" t="s">
        <v>451</v>
      </c>
      <c r="AJ18" s="58"/>
      <c r="AK18" s="58"/>
      <c r="AL18" s="48" t="s">
        <v>561</v>
      </c>
      <c r="AM18" s="48"/>
      <c r="AN18" s="48"/>
      <c r="AO18" s="84"/>
      <c r="AP18" s="84"/>
      <c r="AQ18" s="84"/>
      <c r="AR18" s="84" t="s">
        <v>457</v>
      </c>
      <c r="AT18" s="84"/>
      <c r="AU18" s="89" t="s">
        <v>491</v>
      </c>
      <c r="AV18" s="89"/>
      <c r="AW18" s="89"/>
      <c r="AX18" s="89" t="s">
        <v>492</v>
      </c>
      <c r="AY18" s="89"/>
      <c r="AZ18" s="89"/>
      <c r="BA18" s="89" t="s">
        <v>493</v>
      </c>
      <c r="BB18" s="89"/>
      <c r="BC18" s="89"/>
      <c r="BD18" s="89" t="s">
        <v>494</v>
      </c>
      <c r="BE18" s="89"/>
      <c r="BF18" s="89"/>
      <c r="BG18" s="89" t="s">
        <v>495</v>
      </c>
      <c r="BH18" s="89"/>
      <c r="BI18" s="89"/>
      <c r="BJ18" s="89" t="s">
        <v>496</v>
      </c>
      <c r="BK18" s="89"/>
      <c r="BL18" s="89"/>
      <c r="BM18" s="89" t="s">
        <v>497</v>
      </c>
      <c r="BN18" s="89"/>
      <c r="BO18" s="89"/>
      <c r="BP18" s="89" t="s">
        <v>498</v>
      </c>
      <c r="BQ18" s="89"/>
      <c r="BR18" s="89"/>
      <c r="BS18" s="89" t="s">
        <v>499</v>
      </c>
      <c r="BT18" s="89"/>
      <c r="BU18" s="89"/>
      <c r="BV18" s="84"/>
      <c r="BW18" s="84"/>
      <c r="BX18" s="84"/>
      <c r="BY18" s="89" t="s">
        <v>500</v>
      </c>
      <c r="BZ18" s="89"/>
      <c r="CA18" s="89"/>
      <c r="CB18" s="89" t="s">
        <v>501</v>
      </c>
      <c r="CC18" s="89"/>
      <c r="CD18" s="89"/>
      <c r="CE18" s="89" t="s">
        <v>502</v>
      </c>
      <c r="CF18" s="89"/>
      <c r="CG18" s="89"/>
      <c r="CH18" s="84"/>
      <c r="CI18" s="84"/>
      <c r="CJ18" s="84"/>
      <c r="CK18" s="84"/>
    </row>
    <row r="19" customFormat="false" ht="25.5" hidden="false" customHeight="true" outlineLevel="0" collapsed="false">
      <c r="A19" s="84" t="s">
        <v>632</v>
      </c>
      <c r="B19" s="84"/>
      <c r="C19" s="68" t="s">
        <v>579</v>
      </c>
      <c r="D19" s="68"/>
      <c r="E19" s="68"/>
      <c r="F19" s="48" t="s">
        <v>521</v>
      </c>
      <c r="G19" s="48"/>
      <c r="H19" s="48"/>
      <c r="I19" s="58" t="s">
        <v>503</v>
      </c>
      <c r="J19" s="58"/>
      <c r="K19" s="58"/>
      <c r="L19" s="40" t="s">
        <v>563</v>
      </c>
      <c r="M19" s="40"/>
      <c r="N19" s="40"/>
      <c r="O19" s="52" t="s">
        <v>619</v>
      </c>
      <c r="P19" s="52"/>
      <c r="Q19" s="52"/>
      <c r="R19" s="40" t="s">
        <v>456</v>
      </c>
      <c r="S19" s="40"/>
      <c r="T19" s="40"/>
      <c r="U19" s="40" t="s">
        <v>465</v>
      </c>
      <c r="V19" s="40"/>
      <c r="W19" s="40"/>
      <c r="X19" s="56" t="s">
        <v>487</v>
      </c>
      <c r="Y19" s="56"/>
      <c r="Z19" s="56"/>
      <c r="AA19" s="48" t="s">
        <v>457</v>
      </c>
      <c r="AB19" s="48"/>
      <c r="AC19" s="48"/>
      <c r="AD19" s="48" t="s">
        <v>458</v>
      </c>
      <c r="AE19" s="48"/>
      <c r="AF19" s="48"/>
      <c r="AG19" s="68" t="s">
        <v>564</v>
      </c>
      <c r="AH19" s="68"/>
      <c r="AI19" s="68"/>
      <c r="AJ19" s="68" t="s">
        <v>565</v>
      </c>
      <c r="AK19" s="68"/>
      <c r="AL19" s="68"/>
      <c r="AM19" s="84"/>
      <c r="AN19" s="84"/>
      <c r="AO19" s="84"/>
      <c r="AP19" s="84"/>
      <c r="AQ19" s="84"/>
      <c r="AR19" s="84" t="s">
        <v>458</v>
      </c>
      <c r="AT19" s="84"/>
      <c r="AU19" s="84"/>
      <c r="AV19" s="89" t="s">
        <v>509</v>
      </c>
      <c r="AW19" s="89"/>
      <c r="AX19" s="89"/>
      <c r="AY19" s="89" t="s">
        <v>510</v>
      </c>
      <c r="AZ19" s="89"/>
      <c r="BA19" s="89"/>
      <c r="BB19" s="89" t="s">
        <v>511</v>
      </c>
      <c r="BC19" s="89"/>
      <c r="BD19" s="89"/>
      <c r="BE19" s="89" t="s">
        <v>53</v>
      </c>
      <c r="BF19" s="89"/>
      <c r="BG19" s="89"/>
      <c r="BH19" s="89" t="s">
        <v>512</v>
      </c>
      <c r="BI19" s="89"/>
      <c r="BJ19" s="89"/>
      <c r="BK19" s="89" t="s">
        <v>513</v>
      </c>
      <c r="BL19" s="89"/>
      <c r="BM19" s="89"/>
      <c r="BN19" s="89" t="s">
        <v>514</v>
      </c>
      <c r="BO19" s="89"/>
      <c r="BP19" s="89"/>
      <c r="BQ19" s="89" t="s">
        <v>515</v>
      </c>
      <c r="BR19" s="89"/>
      <c r="BS19" s="89"/>
      <c r="BT19" s="89" t="s">
        <v>516</v>
      </c>
      <c r="BU19" s="89"/>
      <c r="BV19" s="89"/>
      <c r="BW19" s="89" t="s">
        <v>517</v>
      </c>
      <c r="BX19" s="89"/>
      <c r="BY19" s="89"/>
      <c r="BZ19" s="89" t="s">
        <v>518</v>
      </c>
      <c r="CA19" s="89"/>
      <c r="CB19" s="89"/>
      <c r="CC19" s="89" t="s">
        <v>519</v>
      </c>
      <c r="CD19" s="89"/>
      <c r="CE19" s="89"/>
      <c r="CF19" s="84"/>
      <c r="CG19" s="84"/>
      <c r="CH19" s="84"/>
      <c r="CI19" s="84"/>
      <c r="CJ19" s="84"/>
      <c r="CK19" s="84"/>
    </row>
    <row r="20" customFormat="false" ht="25.5" hidden="false" customHeight="true" outlineLevel="0" collapsed="false">
      <c r="A20" s="85" t="s">
        <v>473</v>
      </c>
      <c r="B20" s="85"/>
      <c r="C20" s="85"/>
      <c r="D20" s="52" t="s">
        <v>568</v>
      </c>
      <c r="E20" s="52"/>
      <c r="F20" s="52"/>
      <c r="G20" s="52" t="s">
        <v>620</v>
      </c>
      <c r="H20" s="52"/>
      <c r="I20" s="52"/>
      <c r="J20" s="40" t="s">
        <v>456</v>
      </c>
      <c r="K20" s="40"/>
      <c r="L20" s="40"/>
      <c r="M20" s="107" t="s">
        <v>466</v>
      </c>
      <c r="N20" s="107"/>
      <c r="O20" s="107"/>
      <c r="P20" s="59" t="s">
        <v>570</v>
      </c>
      <c r="Q20" s="59"/>
      <c r="R20" s="59"/>
      <c r="S20" s="58" t="s">
        <v>459</v>
      </c>
      <c r="T20" s="58"/>
      <c r="U20" s="58"/>
      <c r="V20" s="73" t="s">
        <v>402</v>
      </c>
      <c r="W20" s="73"/>
      <c r="X20" s="73"/>
      <c r="Y20" s="56" t="s">
        <v>488</v>
      </c>
      <c r="Z20" s="56"/>
      <c r="AA20" s="56"/>
      <c r="AB20" s="56" t="s">
        <v>400</v>
      </c>
      <c r="AC20" s="56"/>
      <c r="AD20" s="56"/>
      <c r="AE20" s="40" t="s">
        <v>469</v>
      </c>
      <c r="AF20" s="40"/>
      <c r="AG20" s="40"/>
      <c r="AH20" s="85"/>
      <c r="AI20" s="85"/>
      <c r="AJ20" s="85"/>
      <c r="AK20" s="48" t="s">
        <v>572</v>
      </c>
      <c r="AL20" s="48"/>
      <c r="AM20" s="48"/>
      <c r="AN20" s="105"/>
      <c r="AO20" s="105"/>
      <c r="AP20" s="105"/>
      <c r="AQ20" s="105"/>
      <c r="AR20" s="84" t="s">
        <v>460</v>
      </c>
      <c r="AT20" s="85"/>
      <c r="AU20" s="85"/>
      <c r="AV20" s="85"/>
      <c r="AW20" s="89" t="s">
        <v>526</v>
      </c>
      <c r="AX20" s="89"/>
      <c r="AY20" s="89"/>
      <c r="AZ20" s="89" t="s">
        <v>527</v>
      </c>
      <c r="BA20" s="89"/>
      <c r="BB20" s="89"/>
      <c r="BC20" s="89" t="s">
        <v>528</v>
      </c>
      <c r="BD20" s="89"/>
      <c r="BE20" s="89"/>
      <c r="BF20" s="90" t="s">
        <v>529</v>
      </c>
      <c r="BG20" s="90"/>
      <c r="BH20" s="90"/>
      <c r="BI20" s="89" t="s">
        <v>530</v>
      </c>
      <c r="BJ20" s="89"/>
      <c r="BK20" s="89"/>
      <c r="BL20" s="89" t="s">
        <v>531</v>
      </c>
      <c r="BM20" s="89"/>
      <c r="BN20" s="89"/>
      <c r="BO20" s="90" t="s">
        <v>532</v>
      </c>
      <c r="BP20" s="90"/>
      <c r="BQ20" s="90"/>
      <c r="BR20" s="89" t="s">
        <v>533</v>
      </c>
      <c r="BS20" s="89"/>
      <c r="BT20" s="89"/>
      <c r="BU20" s="89" t="s">
        <v>78</v>
      </c>
      <c r="BV20" s="89"/>
      <c r="BW20" s="89"/>
      <c r="BX20" s="89" t="s">
        <v>534</v>
      </c>
      <c r="BY20" s="89"/>
      <c r="BZ20" s="89"/>
      <c r="CA20" s="89" t="s">
        <v>535</v>
      </c>
      <c r="CB20" s="89"/>
      <c r="CC20" s="89"/>
      <c r="CD20" s="89" t="s">
        <v>536</v>
      </c>
      <c r="CE20" s="89"/>
      <c r="CF20" s="89"/>
      <c r="CG20" s="105"/>
      <c r="CH20" s="105"/>
      <c r="CI20" s="105"/>
      <c r="CJ20" s="105"/>
      <c r="CK20" s="84"/>
    </row>
    <row r="21" customFormat="false" ht="25.5" hidden="false" customHeight="true" outlineLevel="0" collapsed="false">
      <c r="A21" s="85" t="s">
        <v>474</v>
      </c>
      <c r="B21" s="85"/>
      <c r="C21" s="85"/>
      <c r="D21" s="85"/>
      <c r="E21" s="40" t="s">
        <v>550</v>
      </c>
      <c r="F21" s="40"/>
      <c r="G21" s="40"/>
      <c r="H21" s="40" t="s">
        <v>551</v>
      </c>
      <c r="I21" s="40"/>
      <c r="J21" s="40"/>
      <c r="K21" s="40" t="s">
        <v>552</v>
      </c>
      <c r="L21" s="40"/>
      <c r="M21" s="40"/>
      <c r="N21" s="40" t="s">
        <v>553</v>
      </c>
      <c r="O21" s="40"/>
      <c r="P21" s="40"/>
      <c r="Q21" s="40" t="s">
        <v>550</v>
      </c>
      <c r="R21" s="40"/>
      <c r="S21" s="40"/>
      <c r="T21" s="40" t="s">
        <v>460</v>
      </c>
      <c r="U21" s="40"/>
      <c r="V21" s="40"/>
      <c r="W21" s="65" t="s">
        <v>461</v>
      </c>
      <c r="X21" s="65"/>
      <c r="Y21" s="65"/>
      <c r="Z21" s="40" t="s">
        <v>573</v>
      </c>
      <c r="AA21" s="40"/>
      <c r="AB21" s="40"/>
      <c r="AC21" s="40" t="s">
        <v>574</v>
      </c>
      <c r="AD21" s="40"/>
      <c r="AE21" s="40"/>
      <c r="AF21" s="52" t="s">
        <v>622</v>
      </c>
      <c r="AG21" s="52"/>
      <c r="AH21" s="52"/>
      <c r="AI21" s="85"/>
      <c r="AJ21" s="85"/>
      <c r="AK21" s="85"/>
      <c r="AL21" s="84" t="s">
        <v>474</v>
      </c>
      <c r="AM21" s="84"/>
      <c r="AN21" s="84"/>
      <c r="AO21" s="84"/>
      <c r="AP21" s="84"/>
      <c r="AQ21" s="84"/>
      <c r="AR21" s="106" t="s">
        <v>628</v>
      </c>
      <c r="AT21" s="85"/>
      <c r="AU21" s="85"/>
      <c r="AV21" s="85"/>
      <c r="AW21" s="85"/>
      <c r="AX21" s="89" t="s">
        <v>541</v>
      </c>
      <c r="AY21" s="89"/>
      <c r="AZ21" s="89"/>
      <c r="BA21" s="89" t="s">
        <v>542</v>
      </c>
      <c r="BB21" s="89"/>
      <c r="BC21" s="89"/>
      <c r="BD21" s="89" t="s">
        <v>543</v>
      </c>
      <c r="BE21" s="89"/>
      <c r="BF21" s="89"/>
      <c r="BG21" s="89" t="s">
        <v>544</v>
      </c>
      <c r="BH21" s="89"/>
      <c r="BI21" s="89"/>
      <c r="BJ21" s="89" t="s">
        <v>545</v>
      </c>
      <c r="BK21" s="89"/>
      <c r="BL21" s="89"/>
      <c r="BM21" s="89" t="s">
        <v>546</v>
      </c>
      <c r="BN21" s="89"/>
      <c r="BO21" s="89"/>
      <c r="BP21" s="89" t="s">
        <v>547</v>
      </c>
      <c r="BQ21" s="89"/>
      <c r="BR21" s="89"/>
      <c r="BS21" s="89" t="s">
        <v>548</v>
      </c>
      <c r="BT21" s="89"/>
      <c r="BU21" s="89"/>
      <c r="BV21" s="89" t="s">
        <v>549</v>
      </c>
      <c r="BW21" s="89"/>
      <c r="BX21" s="89"/>
      <c r="BY21" s="89" t="s">
        <v>520</v>
      </c>
      <c r="BZ21" s="89"/>
      <c r="CA21" s="89"/>
      <c r="CB21" s="84"/>
      <c r="CC21" s="84"/>
      <c r="CD21" s="84"/>
      <c r="CE21" s="84"/>
      <c r="CF21" s="84"/>
      <c r="CG21" s="84"/>
      <c r="CH21" s="84"/>
      <c r="CI21" s="84"/>
      <c r="CJ21" s="84"/>
      <c r="CK21" s="106"/>
    </row>
    <row r="22" customFormat="false" ht="12.8" hidden="false" customHeight="true" outlineLevel="0" collapsed="false">
      <c r="A22" s="85" t="s">
        <v>478</v>
      </c>
      <c r="B22" s="85" t="s">
        <v>480</v>
      </c>
      <c r="C22" s="85" t="s">
        <v>480</v>
      </c>
      <c r="D22" s="85"/>
      <c r="E22" s="85"/>
      <c r="F22" s="85" t="s">
        <v>481</v>
      </c>
      <c r="G22" s="85"/>
      <c r="H22" s="85"/>
      <c r="I22" s="85" t="s">
        <v>482</v>
      </c>
      <c r="J22" s="85"/>
      <c r="K22" s="85"/>
      <c r="L22" s="85" t="s">
        <v>484</v>
      </c>
      <c r="M22" s="85" t="s">
        <v>483</v>
      </c>
      <c r="N22" s="85"/>
      <c r="O22" s="85" t="s">
        <v>484</v>
      </c>
      <c r="P22" s="85"/>
      <c r="Q22" s="85"/>
      <c r="R22" s="85" t="s">
        <v>484</v>
      </c>
      <c r="S22" s="85"/>
      <c r="T22" s="85" t="s">
        <v>483</v>
      </c>
      <c r="U22" s="85"/>
      <c r="V22" s="85" t="s">
        <v>484</v>
      </c>
      <c r="W22" s="85"/>
      <c r="X22" s="85" t="s">
        <v>629</v>
      </c>
      <c r="Y22" s="85" t="s">
        <v>629</v>
      </c>
      <c r="Z22" s="85"/>
      <c r="AA22" s="85"/>
      <c r="AB22" s="85" t="s">
        <v>478</v>
      </c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52" t="s">
        <v>633</v>
      </c>
      <c r="AO22" s="52"/>
      <c r="AP22" s="52"/>
      <c r="AQ22" s="52"/>
      <c r="AR22" s="84" t="s">
        <v>479</v>
      </c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9" t="s">
        <v>537</v>
      </c>
      <c r="CH22" s="89"/>
      <c r="CI22" s="89"/>
      <c r="CJ22" s="89"/>
      <c r="CK22" s="84"/>
    </row>
    <row r="23" customFormat="false" ht="12.8" hidden="false" customHeight="false" outlineLevel="0" collapsed="false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52"/>
      <c r="AO23" s="52"/>
      <c r="AP23" s="52"/>
      <c r="AQ23" s="52"/>
      <c r="AR23" s="84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9"/>
      <c r="CH23" s="89"/>
      <c r="CI23" s="89"/>
      <c r="CJ23" s="89"/>
      <c r="CK23" s="84"/>
    </row>
    <row r="24" customFormat="false" ht="12.8" hidden="false" customHeight="false" outlineLevel="0" collapsed="false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</row>
    <row r="25" customFormat="false" ht="13" hidden="false" customHeight="false" outlineLevel="0" collapsed="false">
      <c r="A25" s="81" t="s">
        <v>634</v>
      </c>
      <c r="B25" s="81"/>
      <c r="C25" s="81"/>
      <c r="D25" s="91"/>
      <c r="E25" s="91"/>
      <c r="F25" s="91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3"/>
      <c r="AR25" s="80" t="s">
        <v>476</v>
      </c>
      <c r="AT25" s="91"/>
      <c r="AU25" s="91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3"/>
    </row>
    <row r="26" customFormat="false" ht="25.5" hidden="false" customHeight="true" outlineLevel="0" collapsed="false">
      <c r="A26" s="56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48" t="s">
        <v>635</v>
      </c>
      <c r="U26" s="48"/>
      <c r="V26" s="48"/>
      <c r="W26" s="48" t="s">
        <v>636</v>
      </c>
      <c r="X26" s="48"/>
      <c r="Y26" s="48"/>
      <c r="Z26" s="48" t="s">
        <v>637</v>
      </c>
      <c r="AA26" s="48"/>
      <c r="AB26" s="48"/>
      <c r="AC26" s="69" t="s">
        <v>638</v>
      </c>
      <c r="AD26" s="69"/>
      <c r="AE26" s="69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84" t="s">
        <v>457</v>
      </c>
      <c r="AT26" s="34" t="s">
        <v>461</v>
      </c>
      <c r="AU26" s="108" t="n">
        <v>1</v>
      </c>
      <c r="AV26" s="108"/>
      <c r="AW26" s="108"/>
      <c r="AX26" s="108" t="n">
        <v>2</v>
      </c>
      <c r="AY26" s="108"/>
      <c r="AZ26" s="108"/>
      <c r="BA26" s="108" t="n">
        <v>3</v>
      </c>
      <c r="BB26" s="108"/>
      <c r="BC26" s="108"/>
      <c r="BD26" s="108" t="n">
        <v>4</v>
      </c>
      <c r="BE26" s="108"/>
      <c r="BF26" s="108"/>
      <c r="BG26" s="108" t="n">
        <v>5</v>
      </c>
      <c r="BH26" s="108"/>
      <c r="BI26" s="108"/>
      <c r="BJ26" s="108" t="n">
        <v>6</v>
      </c>
      <c r="BK26" s="108"/>
      <c r="BL26" s="108"/>
      <c r="BM26" s="108" t="n">
        <v>7</v>
      </c>
      <c r="BN26" s="108"/>
      <c r="BO26" s="108"/>
      <c r="BP26" s="108" t="n">
        <v>8</v>
      </c>
      <c r="BQ26" s="108"/>
      <c r="BR26" s="108"/>
      <c r="BS26" s="108" t="n">
        <v>9</v>
      </c>
      <c r="BT26" s="108"/>
      <c r="BU26" s="108"/>
      <c r="BV26" s="108" t="n">
        <v>0</v>
      </c>
      <c r="BW26" s="108"/>
      <c r="BX26" s="108"/>
      <c r="BY26" s="29" t="s">
        <v>468</v>
      </c>
      <c r="BZ26" s="29"/>
      <c r="CA26" s="29"/>
      <c r="CB26" s="29" t="s">
        <v>472</v>
      </c>
      <c r="CC26" s="29"/>
      <c r="CD26" s="29"/>
      <c r="CE26" s="29" t="s">
        <v>465</v>
      </c>
      <c r="CF26" s="29"/>
      <c r="CG26" s="29"/>
      <c r="CH26" s="29" t="s">
        <v>464</v>
      </c>
      <c r="CI26" s="29"/>
      <c r="CJ26" s="29"/>
    </row>
    <row r="27" customFormat="false" ht="25.5" hidden="false" customHeight="true" outlineLevel="0" collapsed="false">
      <c r="A27" s="56"/>
      <c r="B27" s="56"/>
      <c r="C27" s="40"/>
      <c r="D27" s="40"/>
      <c r="E27" s="40"/>
      <c r="F27" s="52" t="s">
        <v>639</v>
      </c>
      <c r="G27" s="52"/>
      <c r="H27" s="52"/>
      <c r="I27" s="58" t="s">
        <v>503</v>
      </c>
      <c r="J27" s="58"/>
      <c r="K27" s="58"/>
      <c r="L27" s="40" t="s">
        <v>563</v>
      </c>
      <c r="M27" s="40"/>
      <c r="N27" s="40"/>
      <c r="O27" s="40"/>
      <c r="P27" s="40"/>
      <c r="Q27" s="40"/>
      <c r="R27" s="40" t="s">
        <v>456</v>
      </c>
      <c r="S27" s="40"/>
      <c r="T27" s="40"/>
      <c r="U27" s="40" t="s">
        <v>465</v>
      </c>
      <c r="V27" s="40"/>
      <c r="W27" s="40"/>
      <c r="X27" s="58" t="s">
        <v>588</v>
      </c>
      <c r="Y27" s="58"/>
      <c r="Z27" s="58"/>
      <c r="AA27" s="58"/>
      <c r="AB27" s="58"/>
      <c r="AC27" s="58"/>
      <c r="AD27" s="48" t="s">
        <v>640</v>
      </c>
      <c r="AE27" s="48"/>
      <c r="AF27" s="48"/>
      <c r="AG27" s="58"/>
      <c r="AH27" s="58"/>
      <c r="AI27" s="58"/>
      <c r="AJ27" s="40"/>
      <c r="AK27" s="40"/>
      <c r="AL27" s="40"/>
      <c r="AM27" s="58" t="s">
        <v>641</v>
      </c>
      <c r="AN27" s="58"/>
      <c r="AO27" s="58"/>
      <c r="AP27" s="58"/>
      <c r="AQ27" s="58"/>
      <c r="AR27" s="84" t="s">
        <v>458</v>
      </c>
      <c r="AT27" s="29" t="s">
        <v>466</v>
      </c>
      <c r="AU27" s="29"/>
      <c r="AV27" s="108" t="s">
        <v>10</v>
      </c>
      <c r="AW27" s="108"/>
      <c r="AX27" s="108"/>
      <c r="AY27" s="29" t="s">
        <v>5</v>
      </c>
      <c r="AZ27" s="29"/>
      <c r="BA27" s="29"/>
      <c r="BB27" s="29" t="s">
        <v>209</v>
      </c>
      <c r="BC27" s="29"/>
      <c r="BD27" s="29"/>
      <c r="BE27" s="29" t="s">
        <v>198</v>
      </c>
      <c r="BF27" s="29"/>
      <c r="BG27" s="29"/>
      <c r="BH27" s="29" t="s">
        <v>6</v>
      </c>
      <c r="BI27" s="29"/>
      <c r="BJ27" s="29"/>
      <c r="BK27" s="29" t="s">
        <v>467</v>
      </c>
      <c r="BL27" s="29"/>
      <c r="BM27" s="29"/>
      <c r="BN27" s="29" t="s">
        <v>463</v>
      </c>
      <c r="BO27" s="29"/>
      <c r="BP27" s="29"/>
      <c r="BQ27" s="29" t="s">
        <v>46</v>
      </c>
      <c r="BR27" s="29"/>
      <c r="BS27" s="29"/>
      <c r="BT27" s="29" t="s">
        <v>307</v>
      </c>
      <c r="BU27" s="29"/>
      <c r="BV27" s="29"/>
      <c r="BW27" s="29" t="s">
        <v>14</v>
      </c>
      <c r="BX27" s="29"/>
      <c r="BY27" s="29"/>
      <c r="BZ27" s="29" t="s">
        <v>475</v>
      </c>
      <c r="CA27" s="29"/>
      <c r="CB27" s="29"/>
      <c r="CC27" s="29" t="s">
        <v>476</v>
      </c>
      <c r="CD27" s="29"/>
      <c r="CE27" s="29"/>
      <c r="CF27" s="29" t="s">
        <v>469</v>
      </c>
      <c r="CG27" s="29"/>
      <c r="CH27" s="29"/>
      <c r="CI27" s="29"/>
      <c r="CJ27" s="29"/>
    </row>
    <row r="28" customFormat="false" ht="25.5" hidden="false" customHeight="true" outlineLevel="0" collapsed="false">
      <c r="A28" s="63"/>
      <c r="B28" s="63"/>
      <c r="C28" s="63"/>
      <c r="D28" s="52" t="s">
        <v>642</v>
      </c>
      <c r="E28" s="52"/>
      <c r="F28" s="52"/>
      <c r="G28" s="52" t="s">
        <v>643</v>
      </c>
      <c r="H28" s="52"/>
      <c r="I28" s="52"/>
      <c r="J28" s="40" t="s">
        <v>456</v>
      </c>
      <c r="K28" s="40"/>
      <c r="L28" s="40"/>
      <c r="M28" s="109" t="s">
        <v>644</v>
      </c>
      <c r="N28" s="109"/>
      <c r="O28" s="109"/>
      <c r="P28" s="59" t="s">
        <v>645</v>
      </c>
      <c r="Q28" s="59"/>
      <c r="R28" s="59"/>
      <c r="S28" s="59" t="s">
        <v>599</v>
      </c>
      <c r="T28" s="59"/>
      <c r="U28" s="59"/>
      <c r="V28" s="110" t="s">
        <v>600</v>
      </c>
      <c r="W28" s="110"/>
      <c r="X28" s="110"/>
      <c r="Y28" s="40" t="s">
        <v>601</v>
      </c>
      <c r="Z28" s="40"/>
      <c r="AA28" s="40"/>
      <c r="AB28" s="40" t="s">
        <v>602</v>
      </c>
      <c r="AC28" s="40"/>
      <c r="AD28" s="40"/>
      <c r="AE28" s="111" t="s">
        <v>641</v>
      </c>
      <c r="AF28" s="111"/>
      <c r="AG28" s="111"/>
      <c r="AH28" s="63"/>
      <c r="AI28" s="63"/>
      <c r="AJ28" s="63"/>
      <c r="AK28" s="63"/>
      <c r="AL28" s="63"/>
      <c r="AM28" s="63"/>
      <c r="AN28" s="39"/>
      <c r="AO28" s="39"/>
      <c r="AP28" s="39"/>
      <c r="AQ28" s="39"/>
      <c r="AR28" s="84" t="s">
        <v>460</v>
      </c>
      <c r="AT28" s="37" t="s">
        <v>473</v>
      </c>
      <c r="AU28" s="37"/>
      <c r="AV28" s="37"/>
      <c r="AW28" s="108" t="s">
        <v>1</v>
      </c>
      <c r="AX28" s="108"/>
      <c r="AY28" s="108"/>
      <c r="AZ28" s="29" t="s">
        <v>16</v>
      </c>
      <c r="BA28" s="29"/>
      <c r="BB28" s="29"/>
      <c r="BC28" s="29" t="s">
        <v>13</v>
      </c>
      <c r="BD28" s="29"/>
      <c r="BE28" s="29"/>
      <c r="BF28" s="38" t="s">
        <v>8</v>
      </c>
      <c r="BG28" s="38"/>
      <c r="BH28" s="38"/>
      <c r="BI28" s="29" t="s">
        <v>15</v>
      </c>
      <c r="BJ28" s="29"/>
      <c r="BK28" s="29"/>
      <c r="BL28" s="29" t="s">
        <v>3</v>
      </c>
      <c r="BM28" s="29"/>
      <c r="BN28" s="29"/>
      <c r="BO28" s="29" t="s">
        <v>471</v>
      </c>
      <c r="BP28" s="29"/>
      <c r="BQ28" s="29"/>
      <c r="BR28" s="29" t="s">
        <v>243</v>
      </c>
      <c r="BS28" s="29"/>
      <c r="BT28" s="29"/>
      <c r="BU28" s="38" t="s">
        <v>105</v>
      </c>
      <c r="BV28" s="38"/>
      <c r="BW28" s="38"/>
      <c r="BX28" s="29" t="s">
        <v>11</v>
      </c>
      <c r="BY28" s="29"/>
      <c r="BZ28" s="29"/>
      <c r="CA28" s="29" t="s">
        <v>45</v>
      </c>
      <c r="CB28" s="29"/>
      <c r="CC28" s="29"/>
      <c r="CD28" s="29" t="s">
        <v>2</v>
      </c>
      <c r="CE28" s="29"/>
      <c r="CF28" s="29"/>
      <c r="CG28" s="39"/>
      <c r="CH28" s="39"/>
      <c r="CI28" s="39"/>
      <c r="CJ28" s="39"/>
    </row>
    <row r="29" customFormat="false" ht="25.5" hidden="false" customHeight="true" outlineLevel="0" collapsed="false">
      <c r="A29" s="37"/>
      <c r="B29" s="37"/>
      <c r="C29" s="37"/>
      <c r="D29" s="37"/>
      <c r="E29" s="40" t="s">
        <v>550</v>
      </c>
      <c r="F29" s="40"/>
      <c r="G29" s="40"/>
      <c r="H29" s="40" t="s">
        <v>551</v>
      </c>
      <c r="I29" s="40"/>
      <c r="J29" s="40"/>
      <c r="K29" s="40" t="s">
        <v>552</v>
      </c>
      <c r="L29" s="40"/>
      <c r="M29" s="40"/>
      <c r="N29" s="40" t="s">
        <v>553</v>
      </c>
      <c r="O29" s="40"/>
      <c r="P29" s="40"/>
      <c r="Q29" s="40" t="s">
        <v>550</v>
      </c>
      <c r="R29" s="40"/>
      <c r="S29" s="40"/>
      <c r="T29" s="59" t="s">
        <v>608</v>
      </c>
      <c r="U29" s="59"/>
      <c r="V29" s="59"/>
      <c r="W29" s="46" t="s">
        <v>646</v>
      </c>
      <c r="X29" s="46"/>
      <c r="Y29" s="46"/>
      <c r="Z29" s="48" t="s">
        <v>647</v>
      </c>
      <c r="AA29" s="48"/>
      <c r="AB29" s="48"/>
      <c r="AC29" s="48" t="s">
        <v>648</v>
      </c>
      <c r="AD29" s="48"/>
      <c r="AE29" s="48"/>
      <c r="AF29" s="34"/>
      <c r="AG29" s="34"/>
      <c r="AH29" s="34"/>
      <c r="AI29" s="84"/>
      <c r="AJ29" s="84"/>
      <c r="AK29" s="84" t="s">
        <v>474</v>
      </c>
      <c r="AL29" s="84" t="s">
        <v>474</v>
      </c>
      <c r="AM29" s="84"/>
      <c r="AN29" s="84"/>
      <c r="AO29" s="84"/>
      <c r="AP29" s="84"/>
      <c r="AQ29" s="84"/>
      <c r="AR29" s="106" t="s">
        <v>628</v>
      </c>
      <c r="AT29" s="37" t="s">
        <v>474</v>
      </c>
      <c r="AU29" s="37"/>
      <c r="AV29" s="37"/>
      <c r="AW29" s="37"/>
      <c r="AX29" s="108" t="s">
        <v>7</v>
      </c>
      <c r="AY29" s="108"/>
      <c r="AZ29" s="108"/>
      <c r="BA29" s="108" t="s">
        <v>384</v>
      </c>
      <c r="BB29" s="108"/>
      <c r="BC29" s="108"/>
      <c r="BD29" s="108" t="s">
        <v>353</v>
      </c>
      <c r="BE29" s="108"/>
      <c r="BF29" s="108"/>
      <c r="BG29" s="108" t="s">
        <v>9</v>
      </c>
      <c r="BH29" s="108"/>
      <c r="BI29" s="108"/>
      <c r="BJ29" s="29" t="s">
        <v>47</v>
      </c>
      <c r="BK29" s="29"/>
      <c r="BL29" s="29" t="s">
        <v>474</v>
      </c>
      <c r="BM29" s="37" t="s">
        <v>464</v>
      </c>
      <c r="BN29" s="37"/>
      <c r="BO29" s="37"/>
      <c r="BP29" s="29" t="s">
        <v>477</v>
      </c>
      <c r="BQ29" s="29"/>
      <c r="BR29" s="29"/>
      <c r="BS29" s="37" t="s">
        <v>4</v>
      </c>
      <c r="BT29" s="37"/>
      <c r="BU29" s="37"/>
      <c r="BV29" s="37" t="s">
        <v>284</v>
      </c>
      <c r="BW29" s="37"/>
      <c r="BX29" s="37"/>
      <c r="BY29" s="29" t="s">
        <v>462</v>
      </c>
      <c r="BZ29" s="29"/>
      <c r="CA29" s="29"/>
      <c r="CB29" s="29" t="s">
        <v>12</v>
      </c>
      <c r="CC29" s="29"/>
      <c r="CD29" s="29"/>
      <c r="CE29" s="29" t="s">
        <v>474</v>
      </c>
      <c r="CF29" s="29"/>
      <c r="CG29" s="29"/>
      <c r="CH29" s="29"/>
      <c r="CI29" s="29"/>
      <c r="CJ29" s="29"/>
    </row>
    <row r="30" customFormat="false" ht="12.8" hidden="false" customHeight="false" outlineLevel="0" collapsed="false">
      <c r="A30" s="85" t="s">
        <v>478</v>
      </c>
      <c r="B30" s="85" t="s">
        <v>480</v>
      </c>
      <c r="C30" s="85" t="s">
        <v>480</v>
      </c>
      <c r="D30" s="85"/>
      <c r="E30" s="85"/>
      <c r="F30" s="85" t="s">
        <v>481</v>
      </c>
      <c r="G30" s="85"/>
      <c r="H30" s="85"/>
      <c r="I30" s="85" t="s">
        <v>482</v>
      </c>
      <c r="J30" s="85"/>
      <c r="K30" s="85"/>
      <c r="L30" s="85" t="s">
        <v>484</v>
      </c>
      <c r="M30" s="85" t="s">
        <v>483</v>
      </c>
      <c r="N30" s="85"/>
      <c r="O30" s="85" t="s">
        <v>484</v>
      </c>
      <c r="P30" s="85"/>
      <c r="Q30" s="85"/>
      <c r="R30" s="85" t="s">
        <v>484</v>
      </c>
      <c r="S30" s="85"/>
      <c r="T30" s="85" t="s">
        <v>483</v>
      </c>
      <c r="U30" s="85"/>
      <c r="V30" s="85" t="s">
        <v>484</v>
      </c>
      <c r="W30" s="85"/>
      <c r="X30" s="85" t="s">
        <v>629</v>
      </c>
      <c r="Y30" s="85" t="s">
        <v>629</v>
      </c>
      <c r="Z30" s="85"/>
      <c r="AA30" s="85"/>
      <c r="AB30" s="85" t="s">
        <v>478</v>
      </c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4" t="s">
        <v>479</v>
      </c>
      <c r="AT30" s="37" t="s">
        <v>478</v>
      </c>
      <c r="AU30" s="37" t="s">
        <v>479</v>
      </c>
      <c r="AV30" s="37"/>
      <c r="AW30" s="37"/>
      <c r="AX30" s="37" t="s">
        <v>480</v>
      </c>
      <c r="AY30" s="37"/>
      <c r="AZ30" s="37"/>
      <c r="BA30" s="37" t="s">
        <v>481</v>
      </c>
      <c r="BB30" s="37"/>
      <c r="BC30" s="37"/>
      <c r="BD30" s="42" t="s">
        <v>482</v>
      </c>
      <c r="BE30" s="42"/>
      <c r="BF30" s="42"/>
      <c r="BG30" s="37" t="s">
        <v>483</v>
      </c>
      <c r="BH30" s="37"/>
      <c r="BI30" s="37" t="s">
        <v>484</v>
      </c>
      <c r="BJ30" s="37"/>
      <c r="BK30" s="37"/>
      <c r="BL30" s="37"/>
      <c r="BM30" s="37"/>
      <c r="BN30" s="37"/>
      <c r="BO30" s="37" t="s">
        <v>485</v>
      </c>
      <c r="BP30" s="42" t="s">
        <v>485</v>
      </c>
      <c r="BQ30" s="42"/>
      <c r="BR30" s="42"/>
      <c r="BS30" s="37" t="s">
        <v>557</v>
      </c>
      <c r="BT30" s="37"/>
      <c r="BU30" s="37"/>
      <c r="BV30" s="37" t="s">
        <v>481</v>
      </c>
      <c r="BW30" s="37"/>
      <c r="BX30" s="37"/>
      <c r="BY30" s="37" t="s">
        <v>478</v>
      </c>
      <c r="BZ30" s="37"/>
      <c r="CA30" s="37"/>
      <c r="CB30" s="44"/>
      <c r="CC30" s="44"/>
      <c r="CD30" s="44"/>
      <c r="CE30" s="34" t="s">
        <v>487</v>
      </c>
      <c r="CF30" s="34"/>
      <c r="CG30" s="34"/>
      <c r="CH30" s="44"/>
      <c r="CI30" s="44"/>
      <c r="CJ30" s="44"/>
    </row>
    <row r="31" customFormat="false" ht="12.8" hidden="false" customHeight="true" outlineLevel="0" collapsed="false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4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42"/>
      <c r="BE31" s="42"/>
      <c r="BF31" s="42"/>
      <c r="BG31" s="37"/>
      <c r="BH31" s="37"/>
      <c r="BI31" s="37"/>
      <c r="BJ31" s="37"/>
      <c r="BK31" s="37"/>
      <c r="BL31" s="37"/>
      <c r="BM31" s="37"/>
      <c r="BN31" s="37"/>
      <c r="BO31" s="37"/>
      <c r="BP31" s="42"/>
      <c r="BQ31" s="42"/>
      <c r="BR31" s="42"/>
      <c r="BS31" s="37"/>
      <c r="BT31" s="37"/>
      <c r="BU31" s="37"/>
      <c r="BV31" s="37"/>
      <c r="BW31" s="37"/>
      <c r="BX31" s="37"/>
      <c r="BY31" s="37"/>
      <c r="BZ31" s="37"/>
      <c r="CA31" s="37"/>
      <c r="CB31" s="34" t="s">
        <v>402</v>
      </c>
      <c r="CC31" s="34"/>
      <c r="CD31" s="34" t="s">
        <v>488</v>
      </c>
      <c r="CE31" s="34" t="s">
        <v>488</v>
      </c>
      <c r="CF31" s="34"/>
      <c r="CG31" s="34"/>
      <c r="CH31" s="34" t="s">
        <v>400</v>
      </c>
      <c r="CI31" s="34"/>
      <c r="CJ31" s="34"/>
    </row>
    <row r="32" customFormat="false" ht="12.8" hidden="false" customHeight="false" outlineLevel="0" collapsed="false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</row>
    <row r="33" customFormat="false" ht="12.8" hidden="false" customHeight="false" outlineLevel="0" collapsed="false">
      <c r="A33" s="81"/>
      <c r="B33" s="81"/>
      <c r="C33" s="81"/>
      <c r="D33" s="91"/>
      <c r="E33" s="91"/>
      <c r="F33" s="91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3"/>
      <c r="AT33" s="81"/>
      <c r="AU33" s="91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3"/>
    </row>
    <row r="34" customFormat="false" ht="25.5" hidden="false" customHeight="true" outlineLevel="0" collapsed="false">
      <c r="A34" s="56"/>
      <c r="B34" s="58" t="s">
        <v>649</v>
      </c>
      <c r="C34" s="58"/>
      <c r="D34" s="58"/>
      <c r="E34" s="58" t="s">
        <v>650</v>
      </c>
      <c r="F34" s="58"/>
      <c r="G34" s="58"/>
      <c r="H34" s="58" t="s">
        <v>521</v>
      </c>
      <c r="I34" s="58"/>
      <c r="J34" s="58"/>
      <c r="K34" s="58" t="s">
        <v>651</v>
      </c>
      <c r="L34" s="58"/>
      <c r="M34" s="58"/>
      <c r="N34" s="58" t="s">
        <v>652</v>
      </c>
      <c r="O34" s="58"/>
      <c r="P34" s="58"/>
      <c r="Q34" s="58" t="s">
        <v>653</v>
      </c>
      <c r="R34" s="58"/>
      <c r="S34" s="58"/>
      <c r="T34" s="58" t="s">
        <v>654</v>
      </c>
      <c r="U34" s="58"/>
      <c r="V34" s="58"/>
      <c r="W34" s="58" t="s">
        <v>655</v>
      </c>
      <c r="X34" s="58"/>
      <c r="Y34" s="58"/>
      <c r="Z34" s="58" t="s">
        <v>656</v>
      </c>
      <c r="AA34" s="58"/>
      <c r="AB34" s="58"/>
      <c r="AC34" s="58" t="s">
        <v>657</v>
      </c>
      <c r="AD34" s="58"/>
      <c r="AE34" s="58"/>
      <c r="AF34" s="58" t="s">
        <v>658</v>
      </c>
      <c r="AG34" s="58"/>
      <c r="AH34" s="58"/>
      <c r="AI34" s="58" t="s">
        <v>659</v>
      </c>
      <c r="AJ34" s="58"/>
      <c r="AK34" s="58"/>
      <c r="AL34" s="58" t="s">
        <v>660</v>
      </c>
      <c r="AM34" s="58"/>
      <c r="AN34" s="58"/>
      <c r="AO34" s="58"/>
      <c r="AP34" s="58"/>
      <c r="AQ34" s="58"/>
      <c r="AR34" s="84"/>
      <c r="AT34" s="34" t="s">
        <v>461</v>
      </c>
      <c r="AU34" s="108" t="n">
        <v>1</v>
      </c>
      <c r="AV34" s="108"/>
      <c r="AW34" s="108"/>
      <c r="AX34" s="108" t="n">
        <v>2</v>
      </c>
      <c r="AY34" s="108"/>
      <c r="AZ34" s="108"/>
      <c r="BA34" s="108" t="n">
        <v>3</v>
      </c>
      <c r="BB34" s="108"/>
      <c r="BC34" s="108"/>
      <c r="BD34" s="108" t="n">
        <v>4</v>
      </c>
      <c r="BE34" s="108"/>
      <c r="BF34" s="108"/>
      <c r="BG34" s="108" t="n">
        <v>5</v>
      </c>
      <c r="BH34" s="108"/>
      <c r="BI34" s="108"/>
      <c r="BJ34" s="108" t="n">
        <v>6</v>
      </c>
      <c r="BK34" s="108"/>
      <c r="BL34" s="108"/>
      <c r="BM34" s="108" t="n">
        <v>7</v>
      </c>
      <c r="BN34" s="108"/>
      <c r="BO34" s="108"/>
      <c r="BP34" s="108" t="n">
        <v>8</v>
      </c>
      <c r="BQ34" s="108"/>
      <c r="BR34" s="108"/>
      <c r="BS34" s="108" t="n">
        <v>9</v>
      </c>
      <c r="BT34" s="108"/>
      <c r="BU34" s="108"/>
      <c r="BV34" s="108" t="n">
        <v>0</v>
      </c>
      <c r="BW34" s="108"/>
      <c r="BX34" s="108"/>
      <c r="BY34" s="29" t="s">
        <v>468</v>
      </c>
      <c r="BZ34" s="29"/>
      <c r="CA34" s="29"/>
      <c r="CB34" s="29" t="s">
        <v>472</v>
      </c>
      <c r="CC34" s="29"/>
      <c r="CD34" s="29"/>
      <c r="CE34" s="29" t="s">
        <v>465</v>
      </c>
      <c r="CF34" s="29"/>
      <c r="CG34" s="29"/>
      <c r="CH34" s="29" t="s">
        <v>464</v>
      </c>
      <c r="CI34" s="29"/>
      <c r="CJ34" s="29"/>
      <c r="CK34" s="84" t="s">
        <v>457</v>
      </c>
    </row>
    <row r="35" customFormat="false" ht="25.5" hidden="false" customHeight="true" outlineLevel="0" collapsed="false">
      <c r="A35" s="56"/>
      <c r="B35" s="56"/>
      <c r="C35" s="58" t="s">
        <v>661</v>
      </c>
      <c r="D35" s="58"/>
      <c r="E35" s="58"/>
      <c r="F35" s="58" t="s">
        <v>662</v>
      </c>
      <c r="G35" s="58"/>
      <c r="H35" s="58"/>
      <c r="I35" s="58" t="s">
        <v>663</v>
      </c>
      <c r="J35" s="58"/>
      <c r="K35" s="58"/>
      <c r="L35" s="58" t="s">
        <v>664</v>
      </c>
      <c r="M35" s="58"/>
      <c r="N35" s="58"/>
      <c r="O35" s="58" t="s">
        <v>665</v>
      </c>
      <c r="P35" s="58"/>
      <c r="Q35" s="58"/>
      <c r="R35" s="58" t="s">
        <v>666</v>
      </c>
      <c r="S35" s="58"/>
      <c r="T35" s="58"/>
      <c r="U35" s="58" t="s">
        <v>667</v>
      </c>
      <c r="V35" s="58"/>
      <c r="W35" s="58"/>
      <c r="X35" s="58" t="s">
        <v>668</v>
      </c>
      <c r="Y35" s="58"/>
      <c r="Z35" s="58"/>
      <c r="AA35" s="58" t="s">
        <v>669</v>
      </c>
      <c r="AB35" s="58"/>
      <c r="AC35" s="58"/>
      <c r="AD35" s="58" t="s">
        <v>670</v>
      </c>
      <c r="AE35" s="58"/>
      <c r="AF35" s="58"/>
      <c r="AG35" s="58" t="s">
        <v>671</v>
      </c>
      <c r="AH35" s="58"/>
      <c r="AI35" s="58"/>
      <c r="AJ35" s="58" t="s">
        <v>672</v>
      </c>
      <c r="AK35" s="58"/>
      <c r="AL35" s="58"/>
      <c r="AM35" s="58"/>
      <c r="AN35" s="58"/>
      <c r="AO35" s="58"/>
      <c r="AP35" s="58"/>
      <c r="AQ35" s="58"/>
      <c r="AR35" s="84"/>
      <c r="AT35" s="29" t="s">
        <v>466</v>
      </c>
      <c r="AU35" s="29"/>
      <c r="AV35" s="108" t="s">
        <v>10</v>
      </c>
      <c r="AW35" s="108"/>
      <c r="AX35" s="108"/>
      <c r="AY35" s="29" t="s">
        <v>5</v>
      </c>
      <c r="AZ35" s="29"/>
      <c r="BA35" s="29"/>
      <c r="BB35" s="29" t="s">
        <v>209</v>
      </c>
      <c r="BC35" s="29"/>
      <c r="BD35" s="29"/>
      <c r="BE35" s="29" t="s">
        <v>198</v>
      </c>
      <c r="BF35" s="29"/>
      <c r="BG35" s="29"/>
      <c r="BH35" s="29" t="s">
        <v>6</v>
      </c>
      <c r="BI35" s="29"/>
      <c r="BJ35" s="29"/>
      <c r="BK35" s="29" t="s">
        <v>467</v>
      </c>
      <c r="BL35" s="29"/>
      <c r="BM35" s="29"/>
      <c r="BN35" s="29" t="s">
        <v>463</v>
      </c>
      <c r="BO35" s="29"/>
      <c r="BP35" s="29"/>
      <c r="BQ35" s="29" t="s">
        <v>46</v>
      </c>
      <c r="BR35" s="29"/>
      <c r="BS35" s="29"/>
      <c r="BT35" s="29" t="s">
        <v>307</v>
      </c>
      <c r="BU35" s="29"/>
      <c r="BV35" s="29"/>
      <c r="BW35" s="29" t="s">
        <v>14</v>
      </c>
      <c r="BX35" s="29"/>
      <c r="BY35" s="29"/>
      <c r="BZ35" s="29" t="s">
        <v>475</v>
      </c>
      <c r="CA35" s="29"/>
      <c r="CB35" s="29"/>
      <c r="CC35" s="29" t="s">
        <v>476</v>
      </c>
      <c r="CD35" s="29"/>
      <c r="CE35" s="29"/>
      <c r="CF35" s="29" t="s">
        <v>469</v>
      </c>
      <c r="CG35" s="29"/>
      <c r="CH35" s="29"/>
      <c r="CI35" s="29"/>
      <c r="CJ35" s="29"/>
      <c r="CK35" s="84" t="s">
        <v>458</v>
      </c>
    </row>
    <row r="36" customFormat="false" ht="25.5" hidden="false" customHeight="true" outlineLevel="0" collapsed="false">
      <c r="A36" s="40"/>
      <c r="B36" s="40"/>
      <c r="C36" s="40"/>
      <c r="D36" s="58" t="s">
        <v>673</v>
      </c>
      <c r="E36" s="58"/>
      <c r="F36" s="58"/>
      <c r="G36" s="58" t="s">
        <v>674</v>
      </c>
      <c r="H36" s="58"/>
      <c r="I36" s="58"/>
      <c r="J36" s="58" t="s">
        <v>675</v>
      </c>
      <c r="K36" s="58"/>
      <c r="L36" s="58"/>
      <c r="M36" s="58" t="s">
        <v>676</v>
      </c>
      <c r="N36" s="58"/>
      <c r="O36" s="58"/>
      <c r="P36" s="58" t="s">
        <v>677</v>
      </c>
      <c r="Q36" s="58"/>
      <c r="R36" s="58"/>
      <c r="S36" s="58" t="s">
        <v>678</v>
      </c>
      <c r="T36" s="58"/>
      <c r="U36" s="58"/>
      <c r="V36" s="58" t="s">
        <v>679</v>
      </c>
      <c r="W36" s="58"/>
      <c r="X36" s="58"/>
      <c r="Y36" s="58" t="s">
        <v>680</v>
      </c>
      <c r="Z36" s="58"/>
      <c r="AA36" s="58"/>
      <c r="AB36" s="58" t="s">
        <v>681</v>
      </c>
      <c r="AC36" s="58"/>
      <c r="AD36" s="58"/>
      <c r="AE36" s="58" t="s">
        <v>682</v>
      </c>
      <c r="AF36" s="58"/>
      <c r="AG36" s="58"/>
      <c r="AH36" s="58" t="s">
        <v>683</v>
      </c>
      <c r="AI36" s="58"/>
      <c r="AJ36" s="58"/>
      <c r="AK36" s="58" t="s">
        <v>684</v>
      </c>
      <c r="AL36" s="58"/>
      <c r="AM36" s="58"/>
      <c r="AN36" s="112"/>
      <c r="AO36" s="112"/>
      <c r="AP36" s="112"/>
      <c r="AQ36" s="112"/>
      <c r="AR36" s="84"/>
      <c r="AT36" s="37" t="s">
        <v>473</v>
      </c>
      <c r="AU36" s="37"/>
      <c r="AV36" s="37"/>
      <c r="AW36" s="108" t="s">
        <v>1</v>
      </c>
      <c r="AX36" s="108"/>
      <c r="AY36" s="108"/>
      <c r="AZ36" s="29" t="s">
        <v>16</v>
      </c>
      <c r="BA36" s="29"/>
      <c r="BB36" s="29"/>
      <c r="BC36" s="29" t="s">
        <v>13</v>
      </c>
      <c r="BD36" s="29"/>
      <c r="BE36" s="29"/>
      <c r="BF36" s="38" t="s">
        <v>8</v>
      </c>
      <c r="BG36" s="38"/>
      <c r="BH36" s="38"/>
      <c r="BI36" s="29" t="s">
        <v>15</v>
      </c>
      <c r="BJ36" s="29"/>
      <c r="BK36" s="29"/>
      <c r="BL36" s="29" t="s">
        <v>3</v>
      </c>
      <c r="BM36" s="29"/>
      <c r="BN36" s="29"/>
      <c r="BO36" s="29" t="s">
        <v>471</v>
      </c>
      <c r="BP36" s="29"/>
      <c r="BQ36" s="29"/>
      <c r="BR36" s="29" t="s">
        <v>243</v>
      </c>
      <c r="BS36" s="29"/>
      <c r="BT36" s="29"/>
      <c r="BU36" s="38" t="s">
        <v>105</v>
      </c>
      <c r="BV36" s="38"/>
      <c r="BW36" s="38"/>
      <c r="BX36" s="29" t="s">
        <v>11</v>
      </c>
      <c r="BY36" s="29"/>
      <c r="BZ36" s="29"/>
      <c r="CA36" s="29" t="s">
        <v>45</v>
      </c>
      <c r="CB36" s="29"/>
      <c r="CC36" s="29"/>
      <c r="CD36" s="29" t="s">
        <v>2</v>
      </c>
      <c r="CE36" s="29"/>
      <c r="CF36" s="29"/>
      <c r="CG36" s="39"/>
      <c r="CH36" s="39"/>
      <c r="CI36" s="39"/>
      <c r="CJ36" s="39"/>
      <c r="CK36" s="84" t="s">
        <v>460</v>
      </c>
    </row>
    <row r="37" customFormat="false" ht="25.5" hidden="false" customHeight="true" outlineLevel="0" collapsed="false">
      <c r="A37" s="85"/>
      <c r="B37" s="85"/>
      <c r="C37" s="85"/>
      <c r="D37" s="85"/>
      <c r="E37" s="58" t="s">
        <v>685</v>
      </c>
      <c r="F37" s="58"/>
      <c r="G37" s="58"/>
      <c r="H37" s="58" t="s">
        <v>686</v>
      </c>
      <c r="I37" s="58"/>
      <c r="J37" s="58"/>
      <c r="K37" s="58" t="s">
        <v>687</v>
      </c>
      <c r="L37" s="58"/>
      <c r="M37" s="58"/>
      <c r="N37" s="58" t="s">
        <v>688</v>
      </c>
      <c r="O37" s="58"/>
      <c r="P37" s="58"/>
      <c r="Q37" s="58" t="s">
        <v>689</v>
      </c>
      <c r="R37" s="58"/>
      <c r="S37" s="58"/>
      <c r="T37" s="58" t="s">
        <v>690</v>
      </c>
      <c r="U37" s="58"/>
      <c r="V37" s="58"/>
      <c r="W37" s="58" t="s">
        <v>691</v>
      </c>
      <c r="X37" s="58"/>
      <c r="Y37" s="58"/>
      <c r="Z37" s="58" t="s">
        <v>692</v>
      </c>
      <c r="AA37" s="58"/>
      <c r="AB37" s="58"/>
      <c r="AC37" s="58" t="s">
        <v>693</v>
      </c>
      <c r="AD37" s="58"/>
      <c r="AE37" s="58"/>
      <c r="AF37" s="58" t="s">
        <v>694</v>
      </c>
      <c r="AG37" s="58"/>
      <c r="AH37" s="58"/>
      <c r="AI37" s="58"/>
      <c r="AJ37" s="58"/>
      <c r="AK37" s="58"/>
      <c r="AL37" s="84"/>
      <c r="AM37" s="84"/>
      <c r="AN37" s="84"/>
      <c r="AO37" s="84"/>
      <c r="AP37" s="84"/>
      <c r="AQ37" s="84"/>
      <c r="AR37" s="106"/>
      <c r="AT37" s="37" t="s">
        <v>474</v>
      </c>
      <c r="AU37" s="37"/>
      <c r="AV37" s="37"/>
      <c r="AW37" s="37"/>
      <c r="AX37" s="108" t="s">
        <v>7</v>
      </c>
      <c r="AY37" s="108"/>
      <c r="AZ37" s="108"/>
      <c r="BA37" s="108" t="s">
        <v>384</v>
      </c>
      <c r="BB37" s="108"/>
      <c r="BC37" s="108"/>
      <c r="BD37" s="108" t="s">
        <v>353</v>
      </c>
      <c r="BE37" s="108"/>
      <c r="BF37" s="108"/>
      <c r="BG37" s="108" t="s">
        <v>9</v>
      </c>
      <c r="BH37" s="108"/>
      <c r="BI37" s="108"/>
      <c r="BJ37" s="29" t="s">
        <v>47</v>
      </c>
      <c r="BK37" s="29"/>
      <c r="BL37" s="29" t="s">
        <v>474</v>
      </c>
      <c r="BM37" s="37" t="s">
        <v>464</v>
      </c>
      <c r="BN37" s="37"/>
      <c r="BO37" s="37"/>
      <c r="BP37" s="29" t="s">
        <v>477</v>
      </c>
      <c r="BQ37" s="29"/>
      <c r="BR37" s="29"/>
      <c r="BS37" s="37" t="s">
        <v>4</v>
      </c>
      <c r="BT37" s="37"/>
      <c r="BU37" s="37"/>
      <c r="BV37" s="37" t="s">
        <v>284</v>
      </c>
      <c r="BW37" s="37"/>
      <c r="BX37" s="37"/>
      <c r="BY37" s="29" t="s">
        <v>462</v>
      </c>
      <c r="BZ37" s="29"/>
      <c r="CA37" s="29"/>
      <c r="CB37" s="29" t="s">
        <v>12</v>
      </c>
      <c r="CC37" s="29"/>
      <c r="CD37" s="29"/>
      <c r="CE37" s="29" t="s">
        <v>474</v>
      </c>
      <c r="CF37" s="29"/>
      <c r="CG37" s="29"/>
      <c r="CH37" s="29"/>
      <c r="CI37" s="29"/>
      <c r="CJ37" s="29"/>
      <c r="CK37" s="106" t="s">
        <v>628</v>
      </c>
    </row>
    <row r="38" customFormat="false" ht="12.8" hidden="false" customHeight="false" outlineLevel="0" collapsed="false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40" t="s">
        <v>695</v>
      </c>
      <c r="AO38" s="40"/>
      <c r="AP38" s="40"/>
      <c r="AQ38" s="40"/>
      <c r="AR38" s="84"/>
      <c r="AT38" s="85" t="s">
        <v>478</v>
      </c>
      <c r="AU38" s="85" t="s">
        <v>480</v>
      </c>
      <c r="AV38" s="85" t="s">
        <v>480</v>
      </c>
      <c r="AW38" s="85"/>
      <c r="AX38" s="85"/>
      <c r="AY38" s="85" t="s">
        <v>481</v>
      </c>
      <c r="AZ38" s="85"/>
      <c r="BA38" s="85"/>
      <c r="BB38" s="85" t="s">
        <v>482</v>
      </c>
      <c r="BC38" s="85"/>
      <c r="BD38" s="85"/>
      <c r="BE38" s="85" t="s">
        <v>484</v>
      </c>
      <c r="BF38" s="85" t="s">
        <v>483</v>
      </c>
      <c r="BG38" s="85"/>
      <c r="BH38" s="85" t="s">
        <v>484</v>
      </c>
      <c r="BI38" s="85"/>
      <c r="BJ38" s="85"/>
      <c r="BK38" s="85" t="s">
        <v>484</v>
      </c>
      <c r="BL38" s="85"/>
      <c r="BM38" s="85" t="s">
        <v>483</v>
      </c>
      <c r="BN38" s="85"/>
      <c r="BO38" s="85" t="s">
        <v>484</v>
      </c>
      <c r="BP38" s="85"/>
      <c r="BQ38" s="85" t="s">
        <v>629</v>
      </c>
      <c r="BR38" s="85" t="s">
        <v>557</v>
      </c>
      <c r="BS38" s="85"/>
      <c r="BT38" s="85"/>
      <c r="BU38" s="85" t="s">
        <v>478</v>
      </c>
      <c r="BV38" s="85"/>
      <c r="BW38" s="85"/>
      <c r="BX38" s="85" t="s">
        <v>402</v>
      </c>
      <c r="BY38" s="85"/>
      <c r="BZ38" s="85"/>
      <c r="CA38" s="85" t="s">
        <v>488</v>
      </c>
      <c r="CB38" s="85"/>
      <c r="CC38" s="85"/>
      <c r="CD38" s="85" t="s">
        <v>400</v>
      </c>
      <c r="CE38" s="85"/>
      <c r="CF38" s="85"/>
      <c r="CG38" s="85" t="s">
        <v>464</v>
      </c>
      <c r="CH38" s="85" t="s">
        <v>487</v>
      </c>
      <c r="CI38" s="85"/>
      <c r="CJ38" s="85" t="s">
        <v>474</v>
      </c>
      <c r="CK38" s="84" t="s">
        <v>479</v>
      </c>
    </row>
    <row r="39" customFormat="false" ht="12.8" hidden="false" customHeight="false" outlineLevel="0" collapsed="false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40"/>
      <c r="AO39" s="40"/>
      <c r="AP39" s="40"/>
      <c r="AQ39" s="40"/>
      <c r="AR39" s="84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4"/>
    </row>
    <row r="40" customFormat="false" ht="12.8" hidden="false" customHeight="false" outlineLevel="0" collapsed="false">
      <c r="D40" s="102"/>
      <c r="E40" s="102"/>
      <c r="F40" s="102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3"/>
      <c r="AJ40" s="103"/>
      <c r="AK40" s="103"/>
      <c r="AL40" s="103"/>
      <c r="AM40" s="103"/>
      <c r="AN40" s="103"/>
      <c r="AO40" s="103"/>
      <c r="AP40" s="103"/>
      <c r="AQ40" s="104"/>
    </row>
    <row r="41" customFormat="false" ht="12.8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</row>
    <row r="42" customFormat="false" ht="12.8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</row>
    <row r="43" customFormat="false" ht="12.8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</row>
    <row r="44" customFormat="false" ht="12.8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</row>
    <row r="45" customFormat="false" ht="12.8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</row>
    <row r="46" customFormat="false" ht="12.8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</row>
    <row r="47" customFormat="false" ht="12.8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</row>
  </sheetData>
  <mergeCells count="682"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U2:AW2"/>
    <mergeCell ref="AX2:AZ2"/>
    <mergeCell ref="BA2:BC2"/>
    <mergeCell ref="BD2:BF2"/>
    <mergeCell ref="BG2:BI2"/>
    <mergeCell ref="BJ2:BL2"/>
    <mergeCell ref="BM2:BO2"/>
    <mergeCell ref="BP2:BR2"/>
    <mergeCell ref="BS2:BU2"/>
    <mergeCell ref="BV2:BX2"/>
    <mergeCell ref="BY2:CA2"/>
    <mergeCell ref="CB2:CD2"/>
    <mergeCell ref="CE2:CG2"/>
    <mergeCell ref="CH2:CJ2"/>
    <mergeCell ref="A3:B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Q3"/>
    <mergeCell ref="AT3:AU3"/>
    <mergeCell ref="AV3:AX3"/>
    <mergeCell ref="AY3:BA3"/>
    <mergeCell ref="BB3:BD3"/>
    <mergeCell ref="BE3:BG3"/>
    <mergeCell ref="BH3:BJ3"/>
    <mergeCell ref="BK3:BM3"/>
    <mergeCell ref="BN3:BP3"/>
    <mergeCell ref="BQ3:BS3"/>
    <mergeCell ref="BT3:BV3"/>
    <mergeCell ref="BW3:BY3"/>
    <mergeCell ref="BZ3:CB3"/>
    <mergeCell ref="CC3:CE3"/>
    <mergeCell ref="CF3:CJ3"/>
    <mergeCell ref="A4:C4"/>
    <mergeCell ref="D4:F4"/>
    <mergeCell ref="G4:I4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Q4"/>
    <mergeCell ref="AT4:AV4"/>
    <mergeCell ref="AW4:AY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CG4:CJ4"/>
    <mergeCell ref="A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L5:AQ5"/>
    <mergeCell ref="AT5:AW5"/>
    <mergeCell ref="AX5:AZ5"/>
    <mergeCell ref="BA5:BC5"/>
    <mergeCell ref="BD5:BF5"/>
    <mergeCell ref="BG5:BI5"/>
    <mergeCell ref="BJ5:BL5"/>
    <mergeCell ref="BM5:BO5"/>
    <mergeCell ref="BP5:BR5"/>
    <mergeCell ref="BS5:BU5"/>
    <mergeCell ref="BV5:BX5"/>
    <mergeCell ref="BY5:CA5"/>
    <mergeCell ref="CB5:CD5"/>
    <mergeCell ref="CE5:CJ5"/>
    <mergeCell ref="A6:B7"/>
    <mergeCell ref="C6:E7"/>
    <mergeCell ref="F6:H7"/>
    <mergeCell ref="I6:K7"/>
    <mergeCell ref="L6:Q7"/>
    <mergeCell ref="R6:X7"/>
    <mergeCell ref="Y6:AA7"/>
    <mergeCell ref="AB6:AD7"/>
    <mergeCell ref="AE6:AG7"/>
    <mergeCell ref="AH6:AJ7"/>
    <mergeCell ref="AK6:AM7"/>
    <mergeCell ref="AN6:AQ7"/>
    <mergeCell ref="AR6:AR7"/>
    <mergeCell ref="AT6:AU7"/>
    <mergeCell ref="AV6:AX7"/>
    <mergeCell ref="AY6:BA7"/>
    <mergeCell ref="BB6:BD7"/>
    <mergeCell ref="BE6:BJ7"/>
    <mergeCell ref="BK6:BQ7"/>
    <mergeCell ref="BR6:BT7"/>
    <mergeCell ref="BU6:BW7"/>
    <mergeCell ref="BX6:BZ7"/>
    <mergeCell ref="CA6:CC7"/>
    <mergeCell ref="CD6:CF7"/>
    <mergeCell ref="CG6:CJ7"/>
    <mergeCell ref="CK6:CK7"/>
    <mergeCell ref="B10:D10"/>
    <mergeCell ref="E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AU10:AW10"/>
    <mergeCell ref="AX10:AZ10"/>
    <mergeCell ref="BA10:BC10"/>
    <mergeCell ref="BD10:BF10"/>
    <mergeCell ref="BG10:BI10"/>
    <mergeCell ref="BJ10:BL10"/>
    <mergeCell ref="BM10:BO10"/>
    <mergeCell ref="BP10:BR10"/>
    <mergeCell ref="BS10:BU10"/>
    <mergeCell ref="BV10:BX10"/>
    <mergeCell ref="BY10:CA10"/>
    <mergeCell ref="CB10:CD10"/>
    <mergeCell ref="CE10:CG10"/>
    <mergeCell ref="CH10:CJ10"/>
    <mergeCell ref="A11:B11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Q11"/>
    <mergeCell ref="AT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J11"/>
    <mergeCell ref="A12:C12"/>
    <mergeCell ref="D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AE12:AG12"/>
    <mergeCell ref="AH12:AJ12"/>
    <mergeCell ref="AK12:AM12"/>
    <mergeCell ref="AN12:AQ12"/>
    <mergeCell ref="AT12:AV12"/>
    <mergeCell ref="AW12:AY12"/>
    <mergeCell ref="AZ12:BB12"/>
    <mergeCell ref="BC12:BE12"/>
    <mergeCell ref="BF12:BH12"/>
    <mergeCell ref="BI12:BK12"/>
    <mergeCell ref="BL12:BN12"/>
    <mergeCell ref="BO12:BQ12"/>
    <mergeCell ref="BR12:BT12"/>
    <mergeCell ref="BU12:BW12"/>
    <mergeCell ref="BX12:BZ12"/>
    <mergeCell ref="CA12:CC12"/>
    <mergeCell ref="CD12:CF12"/>
    <mergeCell ref="CG12:CJ12"/>
    <mergeCell ref="A13:D13"/>
    <mergeCell ref="E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Q13"/>
    <mergeCell ref="AT13:AW13"/>
    <mergeCell ref="AX13:AZ13"/>
    <mergeCell ref="BA13:BC13"/>
    <mergeCell ref="BD13:BF13"/>
    <mergeCell ref="BG13:BI13"/>
    <mergeCell ref="BJ13:BL13"/>
    <mergeCell ref="BM13:BO13"/>
    <mergeCell ref="BP13:BR13"/>
    <mergeCell ref="BS13:BU13"/>
    <mergeCell ref="BV13:BX13"/>
    <mergeCell ref="BY13:CA13"/>
    <mergeCell ref="CB13:CD13"/>
    <mergeCell ref="CE13:CJ13"/>
    <mergeCell ref="A14:B15"/>
    <mergeCell ref="C14:E15"/>
    <mergeCell ref="F14:H15"/>
    <mergeCell ref="I14:K15"/>
    <mergeCell ref="L14:Q15"/>
    <mergeCell ref="R14:X15"/>
    <mergeCell ref="Y14:AA15"/>
    <mergeCell ref="AB14:AD15"/>
    <mergeCell ref="AE14:AG15"/>
    <mergeCell ref="AH14:AJ15"/>
    <mergeCell ref="AK14:AM15"/>
    <mergeCell ref="AN14:AQ15"/>
    <mergeCell ref="AR14:AR15"/>
    <mergeCell ref="AT14:AU15"/>
    <mergeCell ref="AV14:AX15"/>
    <mergeCell ref="AY14:BA15"/>
    <mergeCell ref="BB14:BD15"/>
    <mergeCell ref="BE14:BJ15"/>
    <mergeCell ref="BK14:BQ15"/>
    <mergeCell ref="BR14:BT15"/>
    <mergeCell ref="BU14:BW15"/>
    <mergeCell ref="BX14:BZ15"/>
    <mergeCell ref="CA14:CC15"/>
    <mergeCell ref="CD14:CF15"/>
    <mergeCell ref="CG14:CJ15"/>
    <mergeCell ref="CK14:CK15"/>
    <mergeCell ref="B18:D18"/>
    <mergeCell ref="E18:G18"/>
    <mergeCell ref="H18:J18"/>
    <mergeCell ref="K18:M18"/>
    <mergeCell ref="N18:P18"/>
    <mergeCell ref="Q18:S18"/>
    <mergeCell ref="T18:V18"/>
    <mergeCell ref="W18:Y18"/>
    <mergeCell ref="Z18:AB18"/>
    <mergeCell ref="AC18:AE18"/>
    <mergeCell ref="AF18:AH18"/>
    <mergeCell ref="AI18:AK18"/>
    <mergeCell ref="AL18:AN18"/>
    <mergeCell ref="AO18:AQ18"/>
    <mergeCell ref="AU18:AW18"/>
    <mergeCell ref="AX18:AZ18"/>
    <mergeCell ref="BA18:BC18"/>
    <mergeCell ref="BD18:BF18"/>
    <mergeCell ref="BG18:BI18"/>
    <mergeCell ref="BJ18:BL18"/>
    <mergeCell ref="BM18:BO18"/>
    <mergeCell ref="BP18:BR18"/>
    <mergeCell ref="BS18:BU18"/>
    <mergeCell ref="BV18:BX18"/>
    <mergeCell ref="BY18:CA18"/>
    <mergeCell ref="CB18:CD18"/>
    <mergeCell ref="CE18:CG18"/>
    <mergeCell ref="CH18:CJ18"/>
    <mergeCell ref="A19:B19"/>
    <mergeCell ref="C19:E19"/>
    <mergeCell ref="F19:H19"/>
    <mergeCell ref="I19:K19"/>
    <mergeCell ref="L19:N19"/>
    <mergeCell ref="O19:Q19"/>
    <mergeCell ref="R19:T19"/>
    <mergeCell ref="U19:W19"/>
    <mergeCell ref="X19:Z19"/>
    <mergeCell ref="AA19:AC19"/>
    <mergeCell ref="AD19:AF19"/>
    <mergeCell ref="AG19:AI19"/>
    <mergeCell ref="AJ19:AL19"/>
    <mergeCell ref="AM19:AQ19"/>
    <mergeCell ref="AT19:AU19"/>
    <mergeCell ref="AV19:AX19"/>
    <mergeCell ref="AY19:BA19"/>
    <mergeCell ref="BB19:BD19"/>
    <mergeCell ref="BE19:BG19"/>
    <mergeCell ref="BH19:BJ19"/>
    <mergeCell ref="BK19:BM19"/>
    <mergeCell ref="BN19:BP19"/>
    <mergeCell ref="BQ19:BS19"/>
    <mergeCell ref="BT19:BV19"/>
    <mergeCell ref="BW19:BY19"/>
    <mergeCell ref="BZ19:CB19"/>
    <mergeCell ref="CC19:CE19"/>
    <mergeCell ref="CF19:CJ19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AE20:AG20"/>
    <mergeCell ref="AH20:AJ20"/>
    <mergeCell ref="AK20:AM20"/>
    <mergeCell ref="AN20:AQ20"/>
    <mergeCell ref="AT20:AV20"/>
    <mergeCell ref="AW20:AY20"/>
    <mergeCell ref="AZ20:BB20"/>
    <mergeCell ref="BC20:BE20"/>
    <mergeCell ref="BF20:BH20"/>
    <mergeCell ref="BI20:BK20"/>
    <mergeCell ref="BL20:BN20"/>
    <mergeCell ref="BO20:BQ20"/>
    <mergeCell ref="BR20:BT20"/>
    <mergeCell ref="BU20:BW20"/>
    <mergeCell ref="BX20:BZ20"/>
    <mergeCell ref="CA20:CC20"/>
    <mergeCell ref="CD20:CF20"/>
    <mergeCell ref="CG20:CJ20"/>
    <mergeCell ref="A21:D21"/>
    <mergeCell ref="E21:G21"/>
    <mergeCell ref="H21:J21"/>
    <mergeCell ref="K21:M21"/>
    <mergeCell ref="N21:P21"/>
    <mergeCell ref="Q21:S21"/>
    <mergeCell ref="T21:V21"/>
    <mergeCell ref="W21:Y21"/>
    <mergeCell ref="Z21:AB21"/>
    <mergeCell ref="AC21:AE21"/>
    <mergeCell ref="AF21:AH21"/>
    <mergeCell ref="AI21:AK21"/>
    <mergeCell ref="AL21:AQ21"/>
    <mergeCell ref="AT21:AW21"/>
    <mergeCell ref="AX21:AZ21"/>
    <mergeCell ref="BA21:BC21"/>
    <mergeCell ref="BD21:BF21"/>
    <mergeCell ref="BG21:BI21"/>
    <mergeCell ref="BJ21:BL21"/>
    <mergeCell ref="BM21:BO21"/>
    <mergeCell ref="BP21:BR21"/>
    <mergeCell ref="BS21:BU21"/>
    <mergeCell ref="BV21:BX21"/>
    <mergeCell ref="BY21:CA21"/>
    <mergeCell ref="CB21:CD21"/>
    <mergeCell ref="CE21:CJ21"/>
    <mergeCell ref="A22:B23"/>
    <mergeCell ref="C22:E23"/>
    <mergeCell ref="F22:H23"/>
    <mergeCell ref="I22:K23"/>
    <mergeCell ref="L22:Q23"/>
    <mergeCell ref="R22:X23"/>
    <mergeCell ref="Y22:AA23"/>
    <mergeCell ref="AB22:AD23"/>
    <mergeCell ref="AE22:AG23"/>
    <mergeCell ref="AH22:AJ23"/>
    <mergeCell ref="AK22:AM23"/>
    <mergeCell ref="AN22:AQ23"/>
    <mergeCell ref="AR22:AR23"/>
    <mergeCell ref="AT22:AU23"/>
    <mergeCell ref="AV22:AX23"/>
    <mergeCell ref="AY22:BA23"/>
    <mergeCell ref="BB22:BD23"/>
    <mergeCell ref="BE22:BJ23"/>
    <mergeCell ref="BK22:BQ23"/>
    <mergeCell ref="BR22:BT23"/>
    <mergeCell ref="BU22:BW23"/>
    <mergeCell ref="BX22:BZ23"/>
    <mergeCell ref="CA22:CC23"/>
    <mergeCell ref="CD22:CF23"/>
    <mergeCell ref="CG22:CJ23"/>
    <mergeCell ref="CK22:CK23"/>
    <mergeCell ref="B26:D26"/>
    <mergeCell ref="E26:G26"/>
    <mergeCell ref="H26:J26"/>
    <mergeCell ref="K26:M26"/>
    <mergeCell ref="N26:P26"/>
    <mergeCell ref="Q26:S26"/>
    <mergeCell ref="T26:V26"/>
    <mergeCell ref="W26:Y26"/>
    <mergeCell ref="Z26:AB26"/>
    <mergeCell ref="AC26:AE26"/>
    <mergeCell ref="AF26:AH26"/>
    <mergeCell ref="AI26:AK26"/>
    <mergeCell ref="AL26:AN26"/>
    <mergeCell ref="AO26:AQ26"/>
    <mergeCell ref="AU26:AW26"/>
    <mergeCell ref="AX26:AZ26"/>
    <mergeCell ref="BA26:BC26"/>
    <mergeCell ref="BD26:BF26"/>
    <mergeCell ref="BG26:BI26"/>
    <mergeCell ref="BJ26:BL26"/>
    <mergeCell ref="BM26:BO26"/>
    <mergeCell ref="BP26:BR26"/>
    <mergeCell ref="BS26:BU26"/>
    <mergeCell ref="BV26:BX26"/>
    <mergeCell ref="BY26:CA26"/>
    <mergeCell ref="CB26:CD26"/>
    <mergeCell ref="CE26:CG26"/>
    <mergeCell ref="CH26:CJ26"/>
    <mergeCell ref="A27:B27"/>
    <mergeCell ref="C27:E27"/>
    <mergeCell ref="F27:H27"/>
    <mergeCell ref="I27:K27"/>
    <mergeCell ref="L27:N27"/>
    <mergeCell ref="O27:Q27"/>
    <mergeCell ref="R27:T27"/>
    <mergeCell ref="U27:W27"/>
    <mergeCell ref="X27:Z27"/>
    <mergeCell ref="AA27:AC27"/>
    <mergeCell ref="AD27:AF27"/>
    <mergeCell ref="AG27:AI27"/>
    <mergeCell ref="AJ27:AL27"/>
    <mergeCell ref="AM27:AQ27"/>
    <mergeCell ref="AT27:AU27"/>
    <mergeCell ref="AV27:AX27"/>
    <mergeCell ref="AY27:BA27"/>
    <mergeCell ref="BB27:BD27"/>
    <mergeCell ref="BE27:BG27"/>
    <mergeCell ref="BH27:BJ27"/>
    <mergeCell ref="BK27:BM27"/>
    <mergeCell ref="BN27:BP27"/>
    <mergeCell ref="BQ27:BS27"/>
    <mergeCell ref="BT27:BV27"/>
    <mergeCell ref="BW27:BY27"/>
    <mergeCell ref="BZ27:CB27"/>
    <mergeCell ref="CC27:CE27"/>
    <mergeCell ref="CF27:CJ27"/>
    <mergeCell ref="A28:C28"/>
    <mergeCell ref="D28:F28"/>
    <mergeCell ref="G28:I28"/>
    <mergeCell ref="J28:L28"/>
    <mergeCell ref="M28:O28"/>
    <mergeCell ref="P28:R28"/>
    <mergeCell ref="S28:U28"/>
    <mergeCell ref="V28:X28"/>
    <mergeCell ref="Y28:AA28"/>
    <mergeCell ref="AB28:AD28"/>
    <mergeCell ref="AE28:AG28"/>
    <mergeCell ref="AH28:AJ28"/>
    <mergeCell ref="AK28:AM28"/>
    <mergeCell ref="AN28:AQ28"/>
    <mergeCell ref="AT28:AV28"/>
    <mergeCell ref="AW28:AY28"/>
    <mergeCell ref="AZ28:BB28"/>
    <mergeCell ref="BC28:BE28"/>
    <mergeCell ref="BF28:BH28"/>
    <mergeCell ref="BI28:BK28"/>
    <mergeCell ref="BL28:BN28"/>
    <mergeCell ref="BO28:BQ28"/>
    <mergeCell ref="BR28:BT28"/>
    <mergeCell ref="BU28:BW28"/>
    <mergeCell ref="BX28:BZ28"/>
    <mergeCell ref="CA28:CC28"/>
    <mergeCell ref="CD28:CF28"/>
    <mergeCell ref="CG28:CJ28"/>
    <mergeCell ref="A29:D29"/>
    <mergeCell ref="E29:G29"/>
    <mergeCell ref="H29:J29"/>
    <mergeCell ref="K29:M29"/>
    <mergeCell ref="N29:P29"/>
    <mergeCell ref="Q29:S29"/>
    <mergeCell ref="T29:V29"/>
    <mergeCell ref="W29:Y29"/>
    <mergeCell ref="Z29:AB29"/>
    <mergeCell ref="AC29:AE29"/>
    <mergeCell ref="AF29:AH29"/>
    <mergeCell ref="AI29:AK29"/>
    <mergeCell ref="AL29:AQ29"/>
    <mergeCell ref="AT29:AW29"/>
    <mergeCell ref="AX29:AZ29"/>
    <mergeCell ref="BA29:BC29"/>
    <mergeCell ref="BD29:BF29"/>
    <mergeCell ref="BG29:BI29"/>
    <mergeCell ref="BJ29:BL29"/>
    <mergeCell ref="BM29:BO29"/>
    <mergeCell ref="BP29:BR29"/>
    <mergeCell ref="BS29:BU29"/>
    <mergeCell ref="BV29:BX29"/>
    <mergeCell ref="BY29:CA29"/>
    <mergeCell ref="CB29:CD29"/>
    <mergeCell ref="CE29:CJ29"/>
    <mergeCell ref="A30:B31"/>
    <mergeCell ref="C30:E31"/>
    <mergeCell ref="F30:H31"/>
    <mergeCell ref="I30:K31"/>
    <mergeCell ref="L30:Q31"/>
    <mergeCell ref="R30:X31"/>
    <mergeCell ref="Y30:AA31"/>
    <mergeCell ref="AB30:AD31"/>
    <mergeCell ref="AE30:AG31"/>
    <mergeCell ref="AH30:AJ31"/>
    <mergeCell ref="AK30:AM31"/>
    <mergeCell ref="AN30:AQ31"/>
    <mergeCell ref="AR30:AR31"/>
    <mergeCell ref="AT30:AT31"/>
    <mergeCell ref="AU30:AW31"/>
    <mergeCell ref="AX30:AZ31"/>
    <mergeCell ref="BA30:BC31"/>
    <mergeCell ref="BD30:BF31"/>
    <mergeCell ref="BG30:BO31"/>
    <mergeCell ref="BP30:BR31"/>
    <mergeCell ref="BS30:BU31"/>
    <mergeCell ref="BV30:BX31"/>
    <mergeCell ref="BY30:CA31"/>
    <mergeCell ref="CB30:CD30"/>
    <mergeCell ref="CE30:CG30"/>
    <mergeCell ref="CB31:CD31"/>
    <mergeCell ref="CE31:CG31"/>
    <mergeCell ref="CH31:CJ31"/>
    <mergeCell ref="B34:D34"/>
    <mergeCell ref="E34:G34"/>
    <mergeCell ref="H34:J34"/>
    <mergeCell ref="K34:M34"/>
    <mergeCell ref="N34:P34"/>
    <mergeCell ref="Q34:S34"/>
    <mergeCell ref="T34:V34"/>
    <mergeCell ref="W34:Y34"/>
    <mergeCell ref="Z34:AB34"/>
    <mergeCell ref="AC34:AE34"/>
    <mergeCell ref="AF34:AH34"/>
    <mergeCell ref="AI34:AK34"/>
    <mergeCell ref="AL34:AN34"/>
    <mergeCell ref="AO34:AQ34"/>
    <mergeCell ref="AU34:AW34"/>
    <mergeCell ref="AX34:AZ34"/>
    <mergeCell ref="BA34:BC34"/>
    <mergeCell ref="BD34:BF34"/>
    <mergeCell ref="BG34:BI34"/>
    <mergeCell ref="BJ34:BL34"/>
    <mergeCell ref="BM34:BO34"/>
    <mergeCell ref="BP34:BR34"/>
    <mergeCell ref="BS34:BU34"/>
    <mergeCell ref="BV34:BX34"/>
    <mergeCell ref="BY34:CA34"/>
    <mergeCell ref="CB34:CD34"/>
    <mergeCell ref="CE34:CG34"/>
    <mergeCell ref="CH34:CJ34"/>
    <mergeCell ref="A35:B35"/>
    <mergeCell ref="C35:E35"/>
    <mergeCell ref="F35:H35"/>
    <mergeCell ref="I35:K35"/>
    <mergeCell ref="L35:N35"/>
    <mergeCell ref="O35:Q35"/>
    <mergeCell ref="R35:T35"/>
    <mergeCell ref="U35:W35"/>
    <mergeCell ref="X35:Z35"/>
    <mergeCell ref="AA35:AC35"/>
    <mergeCell ref="AD35:AF35"/>
    <mergeCell ref="AG35:AI35"/>
    <mergeCell ref="AJ35:AL35"/>
    <mergeCell ref="AM35:AQ35"/>
    <mergeCell ref="AT35:AU35"/>
    <mergeCell ref="AV35:AX35"/>
    <mergeCell ref="AY35:BA35"/>
    <mergeCell ref="BB35:BD35"/>
    <mergeCell ref="BE35:BG35"/>
    <mergeCell ref="BH35:BJ35"/>
    <mergeCell ref="BK35:BM35"/>
    <mergeCell ref="BN35:BP35"/>
    <mergeCell ref="BQ35:BS35"/>
    <mergeCell ref="BT35:BV35"/>
    <mergeCell ref="BW35:BY35"/>
    <mergeCell ref="BZ35:CB35"/>
    <mergeCell ref="CC35:CE35"/>
    <mergeCell ref="CF35:CJ35"/>
    <mergeCell ref="A36:C36"/>
    <mergeCell ref="D36:F36"/>
    <mergeCell ref="G36:I36"/>
    <mergeCell ref="J36:L36"/>
    <mergeCell ref="M36:O36"/>
    <mergeCell ref="P36:R36"/>
    <mergeCell ref="S36:U36"/>
    <mergeCell ref="V36:X36"/>
    <mergeCell ref="Y36:AA36"/>
    <mergeCell ref="AB36:AD36"/>
    <mergeCell ref="AE36:AG36"/>
    <mergeCell ref="AH36:AJ36"/>
    <mergeCell ref="AK36:AM36"/>
    <mergeCell ref="AN36:AQ36"/>
    <mergeCell ref="AT36:AV36"/>
    <mergeCell ref="AW36:AY36"/>
    <mergeCell ref="AZ36:BB36"/>
    <mergeCell ref="BC36:BE36"/>
    <mergeCell ref="BF36:BH36"/>
    <mergeCell ref="BI36:BK36"/>
    <mergeCell ref="BL36:BN36"/>
    <mergeCell ref="BO36:BQ36"/>
    <mergeCell ref="BR36:BT36"/>
    <mergeCell ref="BU36:BW36"/>
    <mergeCell ref="BX36:BZ36"/>
    <mergeCell ref="CA36:CC36"/>
    <mergeCell ref="CD36:CF36"/>
    <mergeCell ref="CG36:CJ36"/>
    <mergeCell ref="A37:D37"/>
    <mergeCell ref="E37:G37"/>
    <mergeCell ref="H37:J37"/>
    <mergeCell ref="K37:M37"/>
    <mergeCell ref="N37:P37"/>
    <mergeCell ref="Q37:S37"/>
    <mergeCell ref="T37:V37"/>
    <mergeCell ref="W37:Y37"/>
    <mergeCell ref="Z37:AB37"/>
    <mergeCell ref="AC37:AE37"/>
    <mergeCell ref="AF37:AH37"/>
    <mergeCell ref="AI37:AK37"/>
    <mergeCell ref="AL37:AQ37"/>
    <mergeCell ref="AT37:AW37"/>
    <mergeCell ref="AX37:AZ37"/>
    <mergeCell ref="BA37:BC37"/>
    <mergeCell ref="BD37:BF37"/>
    <mergeCell ref="BG37:BI37"/>
    <mergeCell ref="BJ37:BL37"/>
    <mergeCell ref="BM37:BO37"/>
    <mergeCell ref="BP37:BR37"/>
    <mergeCell ref="BS37:BU37"/>
    <mergeCell ref="BV37:BX37"/>
    <mergeCell ref="BY37:CA37"/>
    <mergeCell ref="CB37:CD37"/>
    <mergeCell ref="CE37:CJ37"/>
    <mergeCell ref="A38:B39"/>
    <mergeCell ref="C38:E39"/>
    <mergeCell ref="F38:H39"/>
    <mergeCell ref="I38:K39"/>
    <mergeCell ref="L38:Q39"/>
    <mergeCell ref="R38:X39"/>
    <mergeCell ref="Y38:AA39"/>
    <mergeCell ref="AB38:AD39"/>
    <mergeCell ref="AE38:AG39"/>
    <mergeCell ref="AH38:AJ39"/>
    <mergeCell ref="AK38:AM39"/>
    <mergeCell ref="AN38:AQ39"/>
    <mergeCell ref="AR38:AR39"/>
    <mergeCell ref="AT38:AU39"/>
    <mergeCell ref="AV38:AX39"/>
    <mergeCell ref="AY38:BA39"/>
    <mergeCell ref="BB38:BD39"/>
    <mergeCell ref="BE38:BJ39"/>
    <mergeCell ref="BK38:BQ39"/>
    <mergeCell ref="BR38:BT39"/>
    <mergeCell ref="BU38:BW39"/>
    <mergeCell ref="BX38:BZ39"/>
    <mergeCell ref="CA38:CC39"/>
    <mergeCell ref="CD38:CF39"/>
    <mergeCell ref="CG38:CJ39"/>
    <mergeCell ref="CK38:CK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56"/>
  <sheetViews>
    <sheetView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CR50" activeCellId="1" sqref="AS19:CI24 CR5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5" width="6.12"/>
    <col collapsed="false" customWidth="true" hidden="false" outlineLevel="0" max="33" min="2" style="25" width="2.04"/>
    <col collapsed="false" customWidth="true" hidden="false" outlineLevel="0" max="34" min="34" style="25" width="2.31"/>
    <col collapsed="false" customWidth="true" hidden="false" outlineLevel="0" max="43" min="35" style="25" width="2.04"/>
    <col collapsed="false" customWidth="true" hidden="false" outlineLevel="0" max="44" min="44" style="25" width="4.98"/>
    <col collapsed="false" customWidth="true" hidden="false" outlineLevel="0" max="45" min="45" style="25" width="6.12"/>
    <col collapsed="false" customWidth="true" hidden="false" outlineLevel="0" max="87" min="46" style="25" width="2.04"/>
    <col collapsed="false" customWidth="false" hidden="false" outlineLevel="0" max="88" min="88" style="25" width="11.53"/>
    <col collapsed="false" customWidth="true" hidden="false" outlineLevel="0" max="89" min="89" style="25" width="6.12"/>
    <col collapsed="false" customWidth="true" hidden="false" outlineLevel="0" max="131" min="90" style="25" width="2.04"/>
    <col collapsed="false" customWidth="true" hidden="false" outlineLevel="0" max="132" min="132" style="25" width="2.43"/>
    <col collapsed="false" customWidth="false" hidden="false" outlineLevel="0" max="16384" min="133" style="25" width="11.53"/>
  </cols>
  <sheetData>
    <row r="1" customFormat="false" ht="12.8" hidden="false" customHeight="true" outlineLevel="0" collapsed="false">
      <c r="A1" s="17" t="s">
        <v>437</v>
      </c>
      <c r="B1" s="17"/>
      <c r="C1" s="17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7"/>
      <c r="AS1" s="28" t="s">
        <v>696</v>
      </c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7"/>
    </row>
    <row r="2" customFormat="false" ht="19.85" hidden="false" customHeight="true" outlineLevel="0" collapsed="false">
      <c r="A2" s="29" t="s">
        <v>439</v>
      </c>
      <c r="B2" s="30" t="s">
        <v>440</v>
      </c>
      <c r="C2" s="30"/>
      <c r="D2" s="30" t="s">
        <v>441</v>
      </c>
      <c r="E2" s="30"/>
      <c r="F2" s="30" t="s">
        <v>442</v>
      </c>
      <c r="G2" s="30"/>
      <c r="H2" s="30" t="s">
        <v>443</v>
      </c>
      <c r="I2" s="30"/>
      <c r="J2" s="30" t="s">
        <v>444</v>
      </c>
      <c r="K2" s="30"/>
      <c r="L2" s="30" t="s">
        <v>445</v>
      </c>
      <c r="M2" s="30"/>
      <c r="N2" s="30" t="s">
        <v>446</v>
      </c>
      <c r="O2" s="30"/>
      <c r="P2" s="30" t="s">
        <v>447</v>
      </c>
      <c r="Q2" s="30"/>
      <c r="R2" s="30" t="s">
        <v>448</v>
      </c>
      <c r="S2" s="30"/>
      <c r="T2" s="30" t="s">
        <v>449</v>
      </c>
      <c r="U2" s="30"/>
      <c r="V2" s="30" t="s">
        <v>450</v>
      </c>
      <c r="W2" s="30"/>
      <c r="X2" s="30" t="s">
        <v>451</v>
      </c>
      <c r="Y2" s="30"/>
      <c r="Z2" s="31" t="s">
        <v>452</v>
      </c>
      <c r="AA2" s="31"/>
      <c r="AB2" s="32" t="s">
        <v>453</v>
      </c>
      <c r="AC2" s="32"/>
      <c r="AD2" s="32" t="s">
        <v>454</v>
      </c>
      <c r="AE2" s="32"/>
      <c r="AF2" s="30" t="s">
        <v>455</v>
      </c>
      <c r="AG2" s="30"/>
      <c r="AH2" s="30" t="s">
        <v>456</v>
      </c>
      <c r="AI2" s="30"/>
      <c r="AJ2" s="30" t="s">
        <v>457</v>
      </c>
      <c r="AK2" s="30"/>
      <c r="AL2" s="30" t="s">
        <v>458</v>
      </c>
      <c r="AM2" s="30"/>
      <c r="AN2" s="33" t="s">
        <v>459</v>
      </c>
      <c r="AO2" s="33"/>
      <c r="AP2" s="30" t="s">
        <v>460</v>
      </c>
      <c r="AQ2" s="30"/>
      <c r="AS2" s="29" t="s">
        <v>439</v>
      </c>
      <c r="AT2" s="30" t="s">
        <v>440</v>
      </c>
      <c r="AU2" s="30"/>
      <c r="AV2" s="30" t="s">
        <v>441</v>
      </c>
      <c r="AW2" s="30"/>
      <c r="AX2" s="30" t="s">
        <v>442</v>
      </c>
      <c r="AY2" s="30"/>
      <c r="AZ2" s="30" t="s">
        <v>443</v>
      </c>
      <c r="BA2" s="30"/>
      <c r="BB2" s="30" t="s">
        <v>444</v>
      </c>
      <c r="BC2" s="30"/>
      <c r="BD2" s="30" t="s">
        <v>445</v>
      </c>
      <c r="BE2" s="30"/>
      <c r="BF2" s="30" t="s">
        <v>446</v>
      </c>
      <c r="BG2" s="30"/>
      <c r="BH2" s="30" t="s">
        <v>447</v>
      </c>
      <c r="BI2" s="30"/>
      <c r="BJ2" s="30" t="s">
        <v>448</v>
      </c>
      <c r="BK2" s="30"/>
      <c r="BL2" s="30" t="s">
        <v>449</v>
      </c>
      <c r="BM2" s="30"/>
      <c r="BN2" s="30" t="s">
        <v>450</v>
      </c>
      <c r="BO2" s="30"/>
      <c r="BP2" s="30" t="s">
        <v>451</v>
      </c>
      <c r="BQ2" s="30"/>
      <c r="BR2" s="31" t="s">
        <v>452</v>
      </c>
      <c r="BS2" s="31"/>
      <c r="BT2" s="32" t="s">
        <v>453</v>
      </c>
      <c r="BU2" s="32"/>
      <c r="BV2" s="32" t="s">
        <v>454</v>
      </c>
      <c r="BW2" s="32"/>
      <c r="BX2" s="30" t="s">
        <v>455</v>
      </c>
      <c r="BY2" s="30"/>
      <c r="BZ2" s="30" t="s">
        <v>456</v>
      </c>
      <c r="CA2" s="30"/>
      <c r="CB2" s="30" t="s">
        <v>457</v>
      </c>
      <c r="CC2" s="30"/>
      <c r="CD2" s="30" t="s">
        <v>458</v>
      </c>
      <c r="CE2" s="30"/>
      <c r="CF2" s="33" t="s">
        <v>459</v>
      </c>
      <c r="CG2" s="33"/>
      <c r="CH2" s="30" t="s">
        <v>460</v>
      </c>
      <c r="CI2" s="30"/>
      <c r="CK2" s="29" t="s">
        <v>439</v>
      </c>
      <c r="CL2" s="30" t="s">
        <v>440</v>
      </c>
      <c r="CM2" s="30"/>
      <c r="CN2" s="30" t="s">
        <v>441</v>
      </c>
      <c r="CO2" s="30"/>
      <c r="CP2" s="30" t="s">
        <v>442</v>
      </c>
      <c r="CQ2" s="30"/>
      <c r="CR2" s="30" t="s">
        <v>443</v>
      </c>
      <c r="CS2" s="30"/>
      <c r="CT2" s="30" t="s">
        <v>444</v>
      </c>
      <c r="CU2" s="30"/>
      <c r="CV2" s="30" t="s">
        <v>445</v>
      </c>
      <c r="CW2" s="30"/>
      <c r="CX2" s="30" t="s">
        <v>446</v>
      </c>
      <c r="CY2" s="30"/>
      <c r="CZ2" s="30" t="s">
        <v>447</v>
      </c>
      <c r="DA2" s="30"/>
      <c r="DB2" s="30" t="s">
        <v>448</v>
      </c>
      <c r="DC2" s="30"/>
      <c r="DD2" s="30" t="s">
        <v>449</v>
      </c>
      <c r="DE2" s="30"/>
      <c r="DF2" s="30" t="s">
        <v>450</v>
      </c>
      <c r="DG2" s="30"/>
      <c r="DH2" s="30" t="s">
        <v>451</v>
      </c>
      <c r="DI2" s="30"/>
      <c r="DJ2" s="31" t="s">
        <v>452</v>
      </c>
      <c r="DK2" s="31"/>
      <c r="DL2" s="32" t="s">
        <v>453</v>
      </c>
      <c r="DM2" s="32"/>
      <c r="DN2" s="32" t="s">
        <v>454</v>
      </c>
      <c r="DO2" s="32"/>
      <c r="DP2" s="30" t="s">
        <v>455</v>
      </c>
      <c r="DQ2" s="30"/>
      <c r="DR2" s="30" t="s">
        <v>456</v>
      </c>
      <c r="DS2" s="30"/>
      <c r="DT2" s="30" t="s">
        <v>457</v>
      </c>
      <c r="DU2" s="30"/>
      <c r="DV2" s="30" t="s">
        <v>458</v>
      </c>
      <c r="DW2" s="30"/>
      <c r="DX2" s="33" t="s">
        <v>459</v>
      </c>
      <c r="DY2" s="33"/>
      <c r="DZ2" s="30" t="s">
        <v>460</v>
      </c>
      <c r="EA2" s="30"/>
    </row>
    <row r="3" customFormat="false" ht="25.5" hidden="false" customHeight="true" outlineLevel="0" collapsed="false">
      <c r="A3" s="34" t="s">
        <v>461</v>
      </c>
      <c r="B3" s="34" t="n">
        <v>1</v>
      </c>
      <c r="C3" s="34"/>
      <c r="D3" s="34"/>
      <c r="E3" s="34" t="n">
        <v>2</v>
      </c>
      <c r="F3" s="34"/>
      <c r="G3" s="34"/>
      <c r="H3" s="34" t="n">
        <v>3</v>
      </c>
      <c r="I3" s="34"/>
      <c r="J3" s="34"/>
      <c r="K3" s="34" t="n">
        <v>4</v>
      </c>
      <c r="L3" s="34"/>
      <c r="M3" s="34"/>
      <c r="N3" s="34" t="n">
        <v>5</v>
      </c>
      <c r="O3" s="34"/>
      <c r="P3" s="34"/>
      <c r="Q3" s="34" t="n">
        <v>6</v>
      </c>
      <c r="R3" s="34"/>
      <c r="S3" s="34"/>
      <c r="T3" s="34" t="n">
        <v>7</v>
      </c>
      <c r="U3" s="34"/>
      <c r="V3" s="34"/>
      <c r="W3" s="34" t="n">
        <v>8</v>
      </c>
      <c r="X3" s="34"/>
      <c r="Y3" s="34"/>
      <c r="Z3" s="34" t="n">
        <v>9</v>
      </c>
      <c r="AA3" s="34"/>
      <c r="AB3" s="34"/>
      <c r="AC3" s="34" t="n">
        <v>0</v>
      </c>
      <c r="AD3" s="34"/>
      <c r="AE3" s="34"/>
      <c r="AF3" s="29" t="s">
        <v>462</v>
      </c>
      <c r="AG3" s="29"/>
      <c r="AH3" s="29"/>
      <c r="AI3" s="29" t="s">
        <v>463</v>
      </c>
      <c r="AJ3" s="29"/>
      <c r="AK3" s="29"/>
      <c r="AL3" s="29" t="s">
        <v>464</v>
      </c>
      <c r="AM3" s="29"/>
      <c r="AN3" s="29"/>
      <c r="AO3" s="29" t="s">
        <v>465</v>
      </c>
      <c r="AP3" s="29"/>
      <c r="AQ3" s="29"/>
      <c r="AS3" s="34" t="s">
        <v>461</v>
      </c>
      <c r="AT3" s="34" t="n">
        <v>1</v>
      </c>
      <c r="AU3" s="34"/>
      <c r="AV3" s="34"/>
      <c r="AW3" s="34" t="n">
        <v>2</v>
      </c>
      <c r="AX3" s="34"/>
      <c r="AY3" s="34"/>
      <c r="AZ3" s="34" t="n">
        <v>3</v>
      </c>
      <c r="BA3" s="34"/>
      <c r="BB3" s="34"/>
      <c r="BC3" s="34" t="n">
        <v>4</v>
      </c>
      <c r="BD3" s="34"/>
      <c r="BE3" s="34"/>
      <c r="BF3" s="34" t="n">
        <v>5</v>
      </c>
      <c r="BG3" s="34"/>
      <c r="BH3" s="34"/>
      <c r="BI3" s="34" t="n">
        <v>6</v>
      </c>
      <c r="BJ3" s="34"/>
      <c r="BK3" s="34"/>
      <c r="BL3" s="34" t="n">
        <v>7</v>
      </c>
      <c r="BM3" s="34"/>
      <c r="BN3" s="34"/>
      <c r="BO3" s="34" t="n">
        <v>8</v>
      </c>
      <c r="BP3" s="34"/>
      <c r="BQ3" s="34"/>
      <c r="BR3" s="34" t="n">
        <v>9</v>
      </c>
      <c r="BS3" s="34"/>
      <c r="BT3" s="34"/>
      <c r="BU3" s="34" t="n">
        <v>0</v>
      </c>
      <c r="BV3" s="34"/>
      <c r="BW3" s="34"/>
      <c r="BX3" s="29" t="s">
        <v>462</v>
      </c>
      <c r="BY3" s="29"/>
      <c r="BZ3" s="29"/>
      <c r="CA3" s="29" t="s">
        <v>463</v>
      </c>
      <c r="CB3" s="29"/>
      <c r="CC3" s="29"/>
      <c r="CD3" s="29" t="s">
        <v>464</v>
      </c>
      <c r="CE3" s="29"/>
      <c r="CF3" s="29"/>
      <c r="CG3" s="29" t="s">
        <v>465</v>
      </c>
      <c r="CH3" s="29"/>
      <c r="CI3" s="29"/>
      <c r="CK3" s="34" t="s">
        <v>461</v>
      </c>
      <c r="CL3" s="35" t="n">
        <v>1</v>
      </c>
      <c r="CM3" s="35"/>
      <c r="CN3" s="35"/>
      <c r="CO3" s="35" t="n">
        <v>2</v>
      </c>
      <c r="CP3" s="35"/>
      <c r="CQ3" s="35"/>
      <c r="CR3" s="35" t="n">
        <v>3</v>
      </c>
      <c r="CS3" s="35"/>
      <c r="CT3" s="35"/>
      <c r="CU3" s="35" t="n">
        <v>4</v>
      </c>
      <c r="CV3" s="35"/>
      <c r="CW3" s="35"/>
      <c r="CX3" s="35" t="n">
        <v>5</v>
      </c>
      <c r="CY3" s="35"/>
      <c r="CZ3" s="35"/>
      <c r="DA3" s="35" t="n">
        <v>6</v>
      </c>
      <c r="DB3" s="35"/>
      <c r="DC3" s="35"/>
      <c r="DD3" s="35" t="n">
        <v>7</v>
      </c>
      <c r="DE3" s="35"/>
      <c r="DF3" s="35"/>
      <c r="DG3" s="35" t="n">
        <v>8</v>
      </c>
      <c r="DH3" s="35"/>
      <c r="DI3" s="35"/>
      <c r="DJ3" s="35" t="n">
        <v>9</v>
      </c>
      <c r="DK3" s="35"/>
      <c r="DL3" s="35"/>
      <c r="DM3" s="35" t="n">
        <v>0</v>
      </c>
      <c r="DN3" s="35"/>
      <c r="DO3" s="35"/>
      <c r="DP3" s="113" t="s">
        <v>462</v>
      </c>
      <c r="DQ3" s="113"/>
      <c r="DR3" s="113"/>
      <c r="DS3" s="113" t="s">
        <v>463</v>
      </c>
      <c r="DT3" s="113"/>
      <c r="DU3" s="113"/>
      <c r="DV3" s="113" t="s">
        <v>464</v>
      </c>
      <c r="DW3" s="113"/>
      <c r="DX3" s="113"/>
      <c r="DY3" s="29" t="s">
        <v>465</v>
      </c>
      <c r="DZ3" s="29"/>
      <c r="EA3" s="29"/>
    </row>
    <row r="4" customFormat="false" ht="25.5" hidden="false" customHeight="true" outlineLevel="0" collapsed="false">
      <c r="A4" s="29" t="s">
        <v>466</v>
      </c>
      <c r="B4" s="29"/>
      <c r="C4" s="29" t="s">
        <v>10</v>
      </c>
      <c r="D4" s="29"/>
      <c r="E4" s="29"/>
      <c r="F4" s="29" t="s">
        <v>6</v>
      </c>
      <c r="G4" s="29"/>
      <c r="H4" s="29"/>
      <c r="I4" s="29" t="s">
        <v>11</v>
      </c>
      <c r="J4" s="29"/>
      <c r="K4" s="29"/>
      <c r="L4" s="29" t="s">
        <v>209</v>
      </c>
      <c r="M4" s="29"/>
      <c r="N4" s="29"/>
      <c r="O4" s="29" t="s">
        <v>105</v>
      </c>
      <c r="P4" s="29"/>
      <c r="Q4" s="29"/>
      <c r="R4" s="29" t="s">
        <v>198</v>
      </c>
      <c r="S4" s="29"/>
      <c r="T4" s="29"/>
      <c r="U4" s="29" t="s">
        <v>14</v>
      </c>
      <c r="V4" s="29"/>
      <c r="W4" s="29"/>
      <c r="X4" s="29" t="s">
        <v>2</v>
      </c>
      <c r="Y4" s="29"/>
      <c r="Z4" s="29"/>
      <c r="AA4" s="29" t="s">
        <v>45</v>
      </c>
      <c r="AB4" s="29"/>
      <c r="AC4" s="29"/>
      <c r="AD4" s="29" t="s">
        <v>46</v>
      </c>
      <c r="AE4" s="29"/>
      <c r="AF4" s="29"/>
      <c r="AG4" s="29" t="s">
        <v>467</v>
      </c>
      <c r="AH4" s="29"/>
      <c r="AI4" s="29"/>
      <c r="AJ4" s="29" t="s">
        <v>468</v>
      </c>
      <c r="AK4" s="29"/>
      <c r="AL4" s="29"/>
      <c r="AM4" s="29" t="s">
        <v>469</v>
      </c>
      <c r="AN4" s="29"/>
      <c r="AO4" s="29"/>
      <c r="AP4" s="29"/>
      <c r="AQ4" s="29"/>
      <c r="AS4" s="29" t="s">
        <v>466</v>
      </c>
      <c r="AT4" s="29"/>
      <c r="AU4" s="29" t="s">
        <v>10</v>
      </c>
      <c r="AV4" s="29"/>
      <c r="AW4" s="29"/>
      <c r="AX4" s="29" t="s">
        <v>6</v>
      </c>
      <c r="AY4" s="29"/>
      <c r="AZ4" s="29"/>
      <c r="BA4" s="29" t="s">
        <v>11</v>
      </c>
      <c r="BB4" s="29"/>
      <c r="BC4" s="29"/>
      <c r="BD4" s="29" t="s">
        <v>209</v>
      </c>
      <c r="BE4" s="29"/>
      <c r="BF4" s="29"/>
      <c r="BG4" s="29" t="s">
        <v>105</v>
      </c>
      <c r="BH4" s="29"/>
      <c r="BI4" s="29"/>
      <c r="BJ4" s="29" t="s">
        <v>198</v>
      </c>
      <c r="BK4" s="29"/>
      <c r="BL4" s="29"/>
      <c r="BM4" s="29" t="s">
        <v>14</v>
      </c>
      <c r="BN4" s="29"/>
      <c r="BO4" s="29"/>
      <c r="BP4" s="29" t="s">
        <v>2</v>
      </c>
      <c r="BQ4" s="29"/>
      <c r="BR4" s="29"/>
      <c r="BS4" s="29" t="s">
        <v>45</v>
      </c>
      <c r="BT4" s="29"/>
      <c r="BU4" s="29"/>
      <c r="BV4" s="29" t="s">
        <v>46</v>
      </c>
      <c r="BW4" s="29"/>
      <c r="BX4" s="29"/>
      <c r="BY4" s="29" t="s">
        <v>467</v>
      </c>
      <c r="BZ4" s="29"/>
      <c r="CA4" s="29"/>
      <c r="CB4" s="29" t="s">
        <v>468</v>
      </c>
      <c r="CC4" s="29"/>
      <c r="CD4" s="29"/>
      <c r="CE4" s="29" t="s">
        <v>469</v>
      </c>
      <c r="CF4" s="29"/>
      <c r="CG4" s="29"/>
      <c r="CH4" s="29"/>
      <c r="CI4" s="29"/>
      <c r="CK4" s="29" t="s">
        <v>466</v>
      </c>
      <c r="CL4" s="29"/>
      <c r="CM4" s="113" t="s">
        <v>10</v>
      </c>
      <c r="CN4" s="113"/>
      <c r="CO4" s="113"/>
      <c r="CP4" s="113" t="s">
        <v>6</v>
      </c>
      <c r="CQ4" s="113"/>
      <c r="CR4" s="113"/>
      <c r="CS4" s="36" t="s">
        <v>47</v>
      </c>
      <c r="CT4" s="36"/>
      <c r="CU4" s="36"/>
      <c r="CV4" s="36" t="s">
        <v>46</v>
      </c>
      <c r="CW4" s="36"/>
      <c r="CX4" s="36"/>
      <c r="CY4" s="36" t="s">
        <v>243</v>
      </c>
      <c r="CZ4" s="36"/>
      <c r="DA4" s="36"/>
      <c r="DB4" s="36" t="s">
        <v>12</v>
      </c>
      <c r="DC4" s="36"/>
      <c r="DD4" s="36"/>
      <c r="DE4" s="36" t="s">
        <v>5</v>
      </c>
      <c r="DF4" s="36"/>
      <c r="DG4" s="36"/>
      <c r="DH4" s="36" t="s">
        <v>14</v>
      </c>
      <c r="DI4" s="36"/>
      <c r="DJ4" s="36"/>
      <c r="DK4" s="36" t="s">
        <v>198</v>
      </c>
      <c r="DL4" s="36"/>
      <c r="DM4" s="36"/>
      <c r="DN4" s="36" t="s">
        <v>3</v>
      </c>
      <c r="DO4" s="36"/>
      <c r="DP4" s="36"/>
      <c r="DQ4" s="113" t="s">
        <v>467</v>
      </c>
      <c r="DR4" s="113"/>
      <c r="DS4" s="113"/>
      <c r="DT4" s="113" t="s">
        <v>468</v>
      </c>
      <c r="DU4" s="113"/>
      <c r="DV4" s="113"/>
      <c r="DW4" s="29" t="s">
        <v>469</v>
      </c>
      <c r="DX4" s="29"/>
      <c r="DY4" s="29"/>
      <c r="DZ4" s="29"/>
      <c r="EA4" s="29"/>
    </row>
    <row r="5" customFormat="false" ht="25.5" hidden="false" customHeight="true" outlineLevel="0" collapsed="false">
      <c r="A5" s="37" t="s">
        <v>470</v>
      </c>
      <c r="B5" s="37"/>
      <c r="C5" s="37"/>
      <c r="D5" s="29" t="s">
        <v>1</v>
      </c>
      <c r="E5" s="29"/>
      <c r="F5" s="29"/>
      <c r="G5" s="29" t="s">
        <v>8</v>
      </c>
      <c r="H5" s="29"/>
      <c r="I5" s="29"/>
      <c r="J5" s="29" t="s">
        <v>284</v>
      </c>
      <c r="K5" s="29"/>
      <c r="L5" s="29"/>
      <c r="M5" s="38" t="s">
        <v>47</v>
      </c>
      <c r="N5" s="38"/>
      <c r="O5" s="38"/>
      <c r="P5" s="29" t="s">
        <v>243</v>
      </c>
      <c r="Q5" s="29"/>
      <c r="R5" s="29"/>
      <c r="S5" s="29" t="s">
        <v>16</v>
      </c>
      <c r="T5" s="29"/>
      <c r="U5" s="29"/>
      <c r="V5" s="38" t="s">
        <v>12</v>
      </c>
      <c r="W5" s="38"/>
      <c r="X5" s="38"/>
      <c r="Y5" s="29" t="s">
        <v>4</v>
      </c>
      <c r="Z5" s="29"/>
      <c r="AA5" s="29"/>
      <c r="AB5" s="29" t="s">
        <v>5</v>
      </c>
      <c r="AC5" s="29"/>
      <c r="AD5" s="29"/>
      <c r="AE5" s="29" t="s">
        <v>3</v>
      </c>
      <c r="AF5" s="29"/>
      <c r="AG5" s="29"/>
      <c r="AH5" s="29" t="s">
        <v>471</v>
      </c>
      <c r="AI5" s="29"/>
      <c r="AJ5" s="29"/>
      <c r="AK5" s="29" t="s">
        <v>472</v>
      </c>
      <c r="AL5" s="29"/>
      <c r="AM5" s="29"/>
      <c r="AN5" s="39"/>
      <c r="AO5" s="39"/>
      <c r="AP5" s="39"/>
      <c r="AQ5" s="39"/>
      <c r="AS5" s="37" t="s">
        <v>473</v>
      </c>
      <c r="AT5" s="37"/>
      <c r="AU5" s="37"/>
      <c r="AV5" s="29" t="s">
        <v>1</v>
      </c>
      <c r="AW5" s="29"/>
      <c r="AX5" s="29"/>
      <c r="AY5" s="29" t="s">
        <v>8</v>
      </c>
      <c r="AZ5" s="29"/>
      <c r="BA5" s="29"/>
      <c r="BB5" s="29" t="s">
        <v>284</v>
      </c>
      <c r="BC5" s="29"/>
      <c r="BD5" s="29"/>
      <c r="BE5" s="38" t="s">
        <v>47</v>
      </c>
      <c r="BF5" s="38"/>
      <c r="BG5" s="38"/>
      <c r="BH5" s="29" t="s">
        <v>243</v>
      </c>
      <c r="BI5" s="29"/>
      <c r="BJ5" s="29"/>
      <c r="BK5" s="29" t="s">
        <v>16</v>
      </c>
      <c r="BL5" s="29"/>
      <c r="BM5" s="29"/>
      <c r="BN5" s="38" t="s">
        <v>12</v>
      </c>
      <c r="BO5" s="38"/>
      <c r="BP5" s="38"/>
      <c r="BQ5" s="29" t="s">
        <v>4</v>
      </c>
      <c r="BR5" s="29"/>
      <c r="BS5" s="29"/>
      <c r="BT5" s="29" t="s">
        <v>5</v>
      </c>
      <c r="BU5" s="29"/>
      <c r="BV5" s="29"/>
      <c r="BW5" s="29" t="s">
        <v>3</v>
      </c>
      <c r="BX5" s="29"/>
      <c r="BY5" s="29"/>
      <c r="BZ5" s="29" t="s">
        <v>471</v>
      </c>
      <c r="CA5" s="29"/>
      <c r="CB5" s="29"/>
      <c r="CC5" s="29" t="s">
        <v>472</v>
      </c>
      <c r="CD5" s="29"/>
      <c r="CE5" s="29"/>
      <c r="CF5" s="39"/>
      <c r="CG5" s="39"/>
      <c r="CH5" s="39"/>
      <c r="CI5" s="39"/>
      <c r="CK5" s="36" t="s">
        <v>473</v>
      </c>
      <c r="CL5" s="36"/>
      <c r="CM5" s="36"/>
      <c r="CN5" s="36" t="s">
        <v>1</v>
      </c>
      <c r="CO5" s="36"/>
      <c r="CP5" s="36"/>
      <c r="CQ5" s="36" t="s">
        <v>209</v>
      </c>
      <c r="CR5" s="36"/>
      <c r="CS5" s="36"/>
      <c r="CT5" s="36" t="s">
        <v>8</v>
      </c>
      <c r="CU5" s="36"/>
      <c r="CV5" s="36"/>
      <c r="CW5" s="41" t="s">
        <v>105</v>
      </c>
      <c r="CX5" s="41"/>
      <c r="CY5" s="41"/>
      <c r="CZ5" s="36" t="s">
        <v>284</v>
      </c>
      <c r="DA5" s="36"/>
      <c r="DB5" s="36"/>
      <c r="DC5" s="36" t="s">
        <v>16</v>
      </c>
      <c r="DD5" s="36"/>
      <c r="DE5" s="36"/>
      <c r="DF5" s="41" t="s">
        <v>13</v>
      </c>
      <c r="DG5" s="41"/>
      <c r="DH5" s="41"/>
      <c r="DI5" s="36" t="s">
        <v>11</v>
      </c>
      <c r="DJ5" s="36"/>
      <c r="DK5" s="36"/>
      <c r="DL5" s="36" t="s">
        <v>2</v>
      </c>
      <c r="DM5" s="36"/>
      <c r="DN5" s="36"/>
      <c r="DO5" s="36" t="s">
        <v>45</v>
      </c>
      <c r="DP5" s="36"/>
      <c r="DQ5" s="36"/>
      <c r="DR5" s="113" t="s">
        <v>471</v>
      </c>
      <c r="DS5" s="113"/>
      <c r="DT5" s="113"/>
      <c r="DU5" s="113" t="s">
        <v>472</v>
      </c>
      <c r="DV5" s="113"/>
      <c r="DW5" s="113"/>
      <c r="DX5" s="39"/>
      <c r="DY5" s="39"/>
      <c r="DZ5" s="39"/>
      <c r="EA5" s="39"/>
    </row>
    <row r="6" customFormat="false" ht="25.5" hidden="false" customHeight="true" outlineLevel="0" collapsed="false">
      <c r="A6" s="37" t="s">
        <v>474</v>
      </c>
      <c r="B6" s="37"/>
      <c r="C6" s="37"/>
      <c r="D6" s="37"/>
      <c r="E6" s="37" t="s">
        <v>7</v>
      </c>
      <c r="F6" s="37"/>
      <c r="G6" s="37"/>
      <c r="H6" s="37" t="s">
        <v>384</v>
      </c>
      <c r="I6" s="37"/>
      <c r="J6" s="37"/>
      <c r="K6" s="37" t="s">
        <v>353</v>
      </c>
      <c r="L6" s="37"/>
      <c r="M6" s="37"/>
      <c r="N6" s="37" t="s">
        <v>9</v>
      </c>
      <c r="O6" s="37"/>
      <c r="P6" s="37"/>
      <c r="Q6" s="37" t="s">
        <v>307</v>
      </c>
      <c r="R6" s="37"/>
      <c r="S6" s="37"/>
      <c r="T6" s="37" t="s">
        <v>13</v>
      </c>
      <c r="U6" s="37"/>
      <c r="V6" s="37"/>
      <c r="W6" s="37" t="s">
        <v>15</v>
      </c>
      <c r="X6" s="37"/>
      <c r="Y6" s="37"/>
      <c r="Z6" s="37" t="s">
        <v>475</v>
      </c>
      <c r="AA6" s="37"/>
      <c r="AB6" s="37"/>
      <c r="AC6" s="29" t="s">
        <v>476</v>
      </c>
      <c r="AD6" s="29"/>
      <c r="AE6" s="29"/>
      <c r="AF6" s="29" t="s">
        <v>477</v>
      </c>
      <c r="AG6" s="29"/>
      <c r="AH6" s="29"/>
      <c r="AI6" s="29" t="s">
        <v>464</v>
      </c>
      <c r="AJ6" s="29"/>
      <c r="AK6" s="29" t="s">
        <v>474</v>
      </c>
      <c r="AL6" s="29" t="s">
        <v>474</v>
      </c>
      <c r="AM6" s="29"/>
      <c r="AN6" s="29"/>
      <c r="AO6" s="29"/>
      <c r="AP6" s="29"/>
      <c r="AQ6" s="29"/>
      <c r="AS6" s="37" t="s">
        <v>474</v>
      </c>
      <c r="AT6" s="37"/>
      <c r="AU6" s="37"/>
      <c r="AV6" s="37"/>
      <c r="AW6" s="37" t="s">
        <v>7</v>
      </c>
      <c r="AX6" s="37"/>
      <c r="AY6" s="37"/>
      <c r="AZ6" s="37" t="s">
        <v>384</v>
      </c>
      <c r="BA6" s="37"/>
      <c r="BB6" s="37"/>
      <c r="BC6" s="37" t="s">
        <v>353</v>
      </c>
      <c r="BD6" s="37"/>
      <c r="BE6" s="37"/>
      <c r="BF6" s="37" t="s">
        <v>9</v>
      </c>
      <c r="BG6" s="37"/>
      <c r="BH6" s="37"/>
      <c r="BI6" s="37" t="s">
        <v>307</v>
      </c>
      <c r="BJ6" s="37"/>
      <c r="BK6" s="37"/>
      <c r="BL6" s="37" t="s">
        <v>13</v>
      </c>
      <c r="BM6" s="37"/>
      <c r="BN6" s="37"/>
      <c r="BO6" s="37" t="s">
        <v>15</v>
      </c>
      <c r="BP6" s="37"/>
      <c r="BQ6" s="37"/>
      <c r="BR6" s="37" t="s">
        <v>475</v>
      </c>
      <c r="BS6" s="37"/>
      <c r="BT6" s="37"/>
      <c r="BU6" s="29" t="s">
        <v>476</v>
      </c>
      <c r="BV6" s="29"/>
      <c r="BW6" s="29"/>
      <c r="BX6" s="29" t="s">
        <v>477</v>
      </c>
      <c r="BY6" s="29"/>
      <c r="BZ6" s="29"/>
      <c r="CA6" s="29" t="s">
        <v>464</v>
      </c>
      <c r="CB6" s="29"/>
      <c r="CC6" s="29" t="s">
        <v>474</v>
      </c>
      <c r="CD6" s="29" t="s">
        <v>474</v>
      </c>
      <c r="CE6" s="29"/>
      <c r="CF6" s="29"/>
      <c r="CG6" s="29"/>
      <c r="CH6" s="29"/>
      <c r="CI6" s="29"/>
      <c r="CK6" s="37" t="s">
        <v>474</v>
      </c>
      <c r="CL6" s="37"/>
      <c r="CM6" s="37"/>
      <c r="CN6" s="37"/>
      <c r="CO6" s="113" t="s">
        <v>7</v>
      </c>
      <c r="CP6" s="113"/>
      <c r="CQ6" s="113"/>
      <c r="CR6" s="113" t="s">
        <v>384</v>
      </c>
      <c r="CS6" s="113"/>
      <c r="CT6" s="113"/>
      <c r="CU6" s="36" t="s">
        <v>353</v>
      </c>
      <c r="CV6" s="36"/>
      <c r="CW6" s="36"/>
      <c r="CX6" s="36" t="s">
        <v>9</v>
      </c>
      <c r="CY6" s="36"/>
      <c r="CZ6" s="36"/>
      <c r="DA6" s="36" t="s">
        <v>307</v>
      </c>
      <c r="DB6" s="36"/>
      <c r="DC6" s="36"/>
      <c r="DD6" s="36" t="s">
        <v>4</v>
      </c>
      <c r="DE6" s="36"/>
      <c r="DF6" s="36"/>
      <c r="DG6" s="36" t="s">
        <v>15</v>
      </c>
      <c r="DH6" s="36"/>
      <c r="DI6" s="36"/>
      <c r="DJ6" s="36" t="s">
        <v>475</v>
      </c>
      <c r="DK6" s="36"/>
      <c r="DL6" s="36"/>
      <c r="DM6" s="36" t="s">
        <v>476</v>
      </c>
      <c r="DN6" s="36"/>
      <c r="DO6" s="36"/>
      <c r="DP6" s="113" t="s">
        <v>477</v>
      </c>
      <c r="DQ6" s="113"/>
      <c r="DR6" s="113"/>
      <c r="DS6" s="113" t="s">
        <v>464</v>
      </c>
      <c r="DT6" s="113"/>
      <c r="DU6" s="113" t="s">
        <v>474</v>
      </c>
      <c r="DV6" s="29" t="s">
        <v>474</v>
      </c>
      <c r="DW6" s="29"/>
      <c r="DX6" s="29"/>
      <c r="DY6" s="29"/>
      <c r="DZ6" s="29"/>
      <c r="EA6" s="29"/>
    </row>
    <row r="7" customFormat="false" ht="12.8" hidden="false" customHeight="true" outlineLevel="0" collapsed="false">
      <c r="A7" s="37" t="s">
        <v>478</v>
      </c>
      <c r="B7" s="37" t="s">
        <v>479</v>
      </c>
      <c r="C7" s="37"/>
      <c r="D7" s="37"/>
      <c r="E7" s="37" t="s">
        <v>480</v>
      </c>
      <c r="F7" s="37"/>
      <c r="G7" s="37"/>
      <c r="H7" s="37" t="s">
        <v>481</v>
      </c>
      <c r="I7" s="37"/>
      <c r="J7" s="37"/>
      <c r="K7" s="42" t="s">
        <v>482</v>
      </c>
      <c r="L7" s="42"/>
      <c r="M7" s="42"/>
      <c r="N7" s="37" t="s">
        <v>483</v>
      </c>
      <c r="O7" s="37"/>
      <c r="P7" s="37" t="s">
        <v>484</v>
      </c>
      <c r="Q7" s="37"/>
      <c r="R7" s="37"/>
      <c r="S7" s="37"/>
      <c r="T7" s="37"/>
      <c r="U7" s="37"/>
      <c r="V7" s="37" t="s">
        <v>485</v>
      </c>
      <c r="W7" s="42" t="s">
        <v>485</v>
      </c>
      <c r="X7" s="42"/>
      <c r="Y7" s="42"/>
      <c r="Z7" s="43" t="s">
        <v>486</v>
      </c>
      <c r="AA7" s="43"/>
      <c r="AB7" s="43"/>
      <c r="AC7" s="37" t="s">
        <v>481</v>
      </c>
      <c r="AD7" s="37"/>
      <c r="AE7" s="37"/>
      <c r="AF7" s="37" t="s">
        <v>478</v>
      </c>
      <c r="AG7" s="37"/>
      <c r="AH7" s="37"/>
      <c r="AI7" s="44"/>
      <c r="AJ7" s="44"/>
      <c r="AK7" s="44"/>
      <c r="AL7" s="34" t="s">
        <v>487</v>
      </c>
      <c r="AM7" s="34"/>
      <c r="AN7" s="34"/>
      <c r="AO7" s="44"/>
      <c r="AP7" s="44"/>
      <c r="AQ7" s="44"/>
      <c r="AS7" s="37" t="s">
        <v>478</v>
      </c>
      <c r="AT7" s="37" t="s">
        <v>479</v>
      </c>
      <c r="AU7" s="37"/>
      <c r="AV7" s="37"/>
      <c r="AW7" s="37" t="s">
        <v>480</v>
      </c>
      <c r="AX7" s="37"/>
      <c r="AY7" s="37"/>
      <c r="AZ7" s="37" t="s">
        <v>481</v>
      </c>
      <c r="BA7" s="37"/>
      <c r="BB7" s="37"/>
      <c r="BC7" s="42" t="s">
        <v>482</v>
      </c>
      <c r="BD7" s="42"/>
      <c r="BE7" s="42"/>
      <c r="BF7" s="37" t="s">
        <v>483</v>
      </c>
      <c r="BG7" s="37"/>
      <c r="BH7" s="37" t="s">
        <v>484</v>
      </c>
      <c r="BI7" s="37"/>
      <c r="BJ7" s="37"/>
      <c r="BK7" s="37"/>
      <c r="BL7" s="37"/>
      <c r="BM7" s="37"/>
      <c r="BN7" s="37" t="s">
        <v>485</v>
      </c>
      <c r="BO7" s="42" t="s">
        <v>485</v>
      </c>
      <c r="BP7" s="42"/>
      <c r="BQ7" s="42"/>
      <c r="BR7" s="37" t="s">
        <v>557</v>
      </c>
      <c r="BS7" s="37"/>
      <c r="BT7" s="37"/>
      <c r="BU7" s="37" t="s">
        <v>481</v>
      </c>
      <c r="BV7" s="37"/>
      <c r="BW7" s="37"/>
      <c r="BX7" s="37" t="s">
        <v>478</v>
      </c>
      <c r="BY7" s="37"/>
      <c r="BZ7" s="37"/>
      <c r="CA7" s="44"/>
      <c r="CB7" s="44"/>
      <c r="CC7" s="44"/>
      <c r="CD7" s="34" t="s">
        <v>487</v>
      </c>
      <c r="CE7" s="34"/>
      <c r="CF7" s="34"/>
      <c r="CG7" s="44"/>
      <c r="CH7" s="44"/>
      <c r="CI7" s="44"/>
      <c r="CK7" s="37" t="s">
        <v>478</v>
      </c>
      <c r="CL7" s="37" t="s">
        <v>479</v>
      </c>
      <c r="CM7" s="37"/>
      <c r="CN7" s="37"/>
      <c r="CO7" s="37" t="s">
        <v>480</v>
      </c>
      <c r="CP7" s="37"/>
      <c r="CQ7" s="37"/>
      <c r="CR7" s="37" t="s">
        <v>481</v>
      </c>
      <c r="CS7" s="37"/>
      <c r="CT7" s="37"/>
      <c r="CU7" s="42" t="s">
        <v>482</v>
      </c>
      <c r="CV7" s="42"/>
      <c r="CW7" s="42"/>
      <c r="CX7" s="36" t="s">
        <v>483</v>
      </c>
      <c r="CY7" s="36"/>
      <c r="CZ7" s="36" t="s">
        <v>484</v>
      </c>
      <c r="DA7" s="36"/>
      <c r="DB7" s="36"/>
      <c r="DC7" s="36"/>
      <c r="DD7" s="36"/>
      <c r="DE7" s="36"/>
      <c r="DF7" s="36" t="s">
        <v>485</v>
      </c>
      <c r="DG7" s="42" t="s">
        <v>485</v>
      </c>
      <c r="DH7" s="42"/>
      <c r="DI7" s="42"/>
      <c r="DJ7" s="37" t="s">
        <v>557</v>
      </c>
      <c r="DK7" s="37"/>
      <c r="DL7" s="37"/>
      <c r="DM7" s="37" t="s">
        <v>481</v>
      </c>
      <c r="DN7" s="37"/>
      <c r="DO7" s="37"/>
      <c r="DP7" s="37" t="s">
        <v>478</v>
      </c>
      <c r="DQ7" s="37"/>
      <c r="DR7" s="37"/>
      <c r="DS7" s="44"/>
      <c r="DT7" s="44"/>
      <c r="DU7" s="44"/>
      <c r="DV7" s="34" t="s">
        <v>487</v>
      </c>
      <c r="DW7" s="34"/>
      <c r="DX7" s="34"/>
      <c r="DY7" s="44"/>
      <c r="DZ7" s="44"/>
      <c r="EA7" s="44"/>
    </row>
    <row r="8" customFormat="false" ht="12.8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42"/>
      <c r="L8" s="42"/>
      <c r="M8" s="42"/>
      <c r="N8" s="37"/>
      <c r="O8" s="37"/>
      <c r="P8" s="37"/>
      <c r="Q8" s="37"/>
      <c r="R8" s="37"/>
      <c r="S8" s="37"/>
      <c r="T8" s="37"/>
      <c r="U8" s="37"/>
      <c r="V8" s="37"/>
      <c r="W8" s="42"/>
      <c r="X8" s="42"/>
      <c r="Y8" s="42"/>
      <c r="Z8" s="43"/>
      <c r="AA8" s="43"/>
      <c r="AB8" s="43"/>
      <c r="AC8" s="37"/>
      <c r="AD8" s="37"/>
      <c r="AE8" s="37"/>
      <c r="AF8" s="37"/>
      <c r="AG8" s="37"/>
      <c r="AH8" s="37"/>
      <c r="AI8" s="34" t="s">
        <v>402</v>
      </c>
      <c r="AJ8" s="34"/>
      <c r="AK8" s="34" t="s">
        <v>488</v>
      </c>
      <c r="AL8" s="34" t="s">
        <v>488</v>
      </c>
      <c r="AM8" s="34"/>
      <c r="AN8" s="34"/>
      <c r="AO8" s="34" t="s">
        <v>400</v>
      </c>
      <c r="AP8" s="34"/>
      <c r="AQ8" s="34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42"/>
      <c r="BD8" s="42"/>
      <c r="BE8" s="42"/>
      <c r="BF8" s="37"/>
      <c r="BG8" s="37"/>
      <c r="BH8" s="37"/>
      <c r="BI8" s="37"/>
      <c r="BJ8" s="37"/>
      <c r="BK8" s="37"/>
      <c r="BL8" s="37"/>
      <c r="BM8" s="37"/>
      <c r="BN8" s="37"/>
      <c r="BO8" s="42"/>
      <c r="BP8" s="42"/>
      <c r="BQ8" s="42"/>
      <c r="BR8" s="37"/>
      <c r="BS8" s="37"/>
      <c r="BT8" s="37"/>
      <c r="BU8" s="37"/>
      <c r="BV8" s="37"/>
      <c r="BW8" s="37"/>
      <c r="BX8" s="37"/>
      <c r="BY8" s="37"/>
      <c r="BZ8" s="37"/>
      <c r="CA8" s="34" t="s">
        <v>402</v>
      </c>
      <c r="CB8" s="34"/>
      <c r="CC8" s="34" t="s">
        <v>488</v>
      </c>
      <c r="CD8" s="34" t="s">
        <v>488</v>
      </c>
      <c r="CE8" s="34"/>
      <c r="CF8" s="34"/>
      <c r="CG8" s="34" t="s">
        <v>400</v>
      </c>
      <c r="CH8" s="34"/>
      <c r="CI8" s="34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42"/>
      <c r="CV8" s="42"/>
      <c r="CW8" s="42"/>
      <c r="CX8" s="36"/>
      <c r="CY8" s="36"/>
      <c r="CZ8" s="36"/>
      <c r="DA8" s="36"/>
      <c r="DB8" s="36"/>
      <c r="DC8" s="36"/>
      <c r="DD8" s="36"/>
      <c r="DE8" s="36"/>
      <c r="DF8" s="36"/>
      <c r="DG8" s="42"/>
      <c r="DH8" s="42"/>
      <c r="DI8" s="42"/>
      <c r="DJ8" s="37"/>
      <c r="DK8" s="37"/>
      <c r="DL8" s="37"/>
      <c r="DM8" s="37"/>
      <c r="DN8" s="37"/>
      <c r="DO8" s="37"/>
      <c r="DP8" s="37"/>
      <c r="DQ8" s="37"/>
      <c r="DR8" s="37"/>
      <c r="DS8" s="34" t="s">
        <v>402</v>
      </c>
      <c r="DT8" s="34"/>
      <c r="DU8" s="34" t="s">
        <v>488</v>
      </c>
      <c r="DV8" s="34" t="s">
        <v>488</v>
      </c>
      <c r="DW8" s="34"/>
      <c r="DX8" s="34"/>
      <c r="DY8" s="34" t="s">
        <v>400</v>
      </c>
      <c r="DZ8" s="34"/>
      <c r="EA8" s="34"/>
    </row>
    <row r="9" customFormat="false" ht="12.8" hidden="false" customHeight="true" outlineLevel="0" collapsed="false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</row>
    <row r="10" customFormat="false" ht="12.8" hidden="false" customHeight="true" outlineLevel="0" collapsed="false">
      <c r="A10" s="28" t="s">
        <v>697</v>
      </c>
      <c r="B10" s="17"/>
      <c r="C10" s="17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7"/>
      <c r="AS10" s="17" t="s">
        <v>698</v>
      </c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7"/>
    </row>
    <row r="11" customFormat="false" ht="25.5" hidden="false" customHeight="true" outlineLevel="0" collapsed="false">
      <c r="A11" s="34" t="s">
        <v>461</v>
      </c>
      <c r="B11" s="34" t="n">
        <v>1</v>
      </c>
      <c r="C11" s="34"/>
      <c r="D11" s="34"/>
      <c r="E11" s="34" t="n">
        <v>2</v>
      </c>
      <c r="F11" s="34"/>
      <c r="G11" s="34"/>
      <c r="H11" s="34" t="n">
        <v>3</v>
      </c>
      <c r="I11" s="34"/>
      <c r="J11" s="34"/>
      <c r="K11" s="34" t="n">
        <v>4</v>
      </c>
      <c r="L11" s="34"/>
      <c r="M11" s="34"/>
      <c r="N11" s="34" t="n">
        <v>5</v>
      </c>
      <c r="O11" s="34"/>
      <c r="P11" s="34"/>
      <c r="Q11" s="34" t="n">
        <v>6</v>
      </c>
      <c r="R11" s="34"/>
      <c r="S11" s="34"/>
      <c r="T11" s="34" t="n">
        <v>7</v>
      </c>
      <c r="U11" s="34"/>
      <c r="V11" s="34"/>
      <c r="W11" s="34" t="n">
        <v>8</v>
      </c>
      <c r="X11" s="34"/>
      <c r="Y11" s="34"/>
      <c r="Z11" s="34" t="n">
        <v>9</v>
      </c>
      <c r="AA11" s="34"/>
      <c r="AB11" s="34"/>
      <c r="AC11" s="34" t="n">
        <v>0</v>
      </c>
      <c r="AD11" s="34"/>
      <c r="AE11" s="34"/>
      <c r="AF11" s="29" t="s">
        <v>462</v>
      </c>
      <c r="AG11" s="29"/>
      <c r="AH11" s="29"/>
      <c r="AI11" s="29" t="s">
        <v>463</v>
      </c>
      <c r="AJ11" s="29"/>
      <c r="AK11" s="29"/>
      <c r="AL11" s="29" t="s">
        <v>464</v>
      </c>
      <c r="AM11" s="29"/>
      <c r="AN11" s="29"/>
      <c r="AO11" s="29" t="s">
        <v>465</v>
      </c>
      <c r="AP11" s="29"/>
      <c r="AQ11" s="29"/>
      <c r="AS11" s="34"/>
      <c r="AT11" s="46" t="s">
        <v>491</v>
      </c>
      <c r="AU11" s="46"/>
      <c r="AV11" s="46"/>
      <c r="AW11" s="47" t="s">
        <v>492</v>
      </c>
      <c r="AX11" s="47"/>
      <c r="AY11" s="47"/>
      <c r="AZ11" s="46" t="s">
        <v>493</v>
      </c>
      <c r="BA11" s="46"/>
      <c r="BB11" s="46"/>
      <c r="BC11" s="46" t="s">
        <v>494</v>
      </c>
      <c r="BD11" s="46"/>
      <c r="BE11" s="46"/>
      <c r="BF11" s="46" t="s">
        <v>495</v>
      </c>
      <c r="BG11" s="46"/>
      <c r="BH11" s="46"/>
      <c r="BI11" s="46" t="s">
        <v>496</v>
      </c>
      <c r="BJ11" s="46"/>
      <c r="BK11" s="46"/>
      <c r="BL11" s="46" t="s">
        <v>497</v>
      </c>
      <c r="BM11" s="46"/>
      <c r="BN11" s="46"/>
      <c r="BO11" s="46" t="s">
        <v>498</v>
      </c>
      <c r="BP11" s="46"/>
      <c r="BQ11" s="46"/>
      <c r="BR11" s="46" t="s">
        <v>499</v>
      </c>
      <c r="BS11" s="46"/>
      <c r="BT11" s="46"/>
      <c r="BU11" s="34"/>
      <c r="BV11" s="34"/>
      <c r="BW11" s="34"/>
      <c r="BX11" s="46" t="s">
        <v>500</v>
      </c>
      <c r="BY11" s="46"/>
      <c r="BZ11" s="46"/>
      <c r="CA11" s="46" t="s">
        <v>501</v>
      </c>
      <c r="CB11" s="46"/>
      <c r="CC11" s="46"/>
      <c r="CD11" s="46" t="s">
        <v>502</v>
      </c>
      <c r="CE11" s="46"/>
      <c r="CF11" s="46"/>
      <c r="CG11" s="34"/>
      <c r="CH11" s="34"/>
      <c r="CI11" s="34"/>
      <c r="CK11" s="63" t="s">
        <v>461</v>
      </c>
      <c r="CL11" s="63" t="n">
        <v>1</v>
      </c>
      <c r="CM11" s="63"/>
      <c r="CN11" s="63"/>
      <c r="CO11" s="63" t="n">
        <v>2</v>
      </c>
      <c r="CP11" s="63"/>
      <c r="CQ11" s="63"/>
      <c r="CR11" s="63" t="n">
        <v>3</v>
      </c>
      <c r="CS11" s="63"/>
      <c r="CT11" s="63"/>
      <c r="CU11" s="63" t="n">
        <v>4</v>
      </c>
      <c r="CV11" s="63"/>
      <c r="CW11" s="63"/>
      <c r="CX11" s="63" t="n">
        <v>5</v>
      </c>
      <c r="CY11" s="63"/>
      <c r="CZ11" s="63"/>
      <c r="DA11" s="63" t="n">
        <v>6</v>
      </c>
      <c r="DB11" s="63"/>
      <c r="DC11" s="63"/>
      <c r="DD11" s="63" t="n">
        <v>7</v>
      </c>
      <c r="DE11" s="63"/>
      <c r="DF11" s="63"/>
      <c r="DG11" s="63" t="n">
        <v>8</v>
      </c>
      <c r="DH11" s="63"/>
      <c r="DI11" s="63"/>
      <c r="DJ11" s="63" t="n">
        <v>9</v>
      </c>
      <c r="DK11" s="63"/>
      <c r="DL11" s="63"/>
      <c r="DM11" s="63" t="n">
        <v>0</v>
      </c>
      <c r="DN11" s="63"/>
      <c r="DO11" s="63"/>
      <c r="DP11" s="37" t="s">
        <v>3</v>
      </c>
      <c r="DQ11" s="37"/>
      <c r="DR11" s="37"/>
      <c r="DS11" s="37" t="s">
        <v>463</v>
      </c>
      <c r="DT11" s="37"/>
      <c r="DU11" s="37"/>
      <c r="DV11" s="37" t="s">
        <v>464</v>
      </c>
      <c r="DW11" s="37"/>
      <c r="DX11" s="37"/>
      <c r="DY11" s="37" t="s">
        <v>465</v>
      </c>
      <c r="DZ11" s="37"/>
      <c r="EA11" s="37"/>
    </row>
    <row r="12" customFormat="false" ht="25.5" hidden="false" customHeight="true" outlineLevel="0" collapsed="false">
      <c r="A12" s="29" t="s">
        <v>466</v>
      </c>
      <c r="B12" s="29"/>
      <c r="C12" s="29" t="s">
        <v>10</v>
      </c>
      <c r="D12" s="29"/>
      <c r="E12" s="29"/>
      <c r="F12" s="29" t="s">
        <v>6</v>
      </c>
      <c r="G12" s="29"/>
      <c r="H12" s="29"/>
      <c r="I12" s="29" t="s">
        <v>11</v>
      </c>
      <c r="J12" s="29"/>
      <c r="K12" s="29"/>
      <c r="L12" s="29" t="s">
        <v>209</v>
      </c>
      <c r="M12" s="29"/>
      <c r="N12" s="29"/>
      <c r="O12" s="29" t="s">
        <v>105</v>
      </c>
      <c r="P12" s="29"/>
      <c r="Q12" s="29"/>
      <c r="R12" s="29" t="s">
        <v>467</v>
      </c>
      <c r="S12" s="29"/>
      <c r="T12" s="29"/>
      <c r="U12" s="29" t="s">
        <v>468</v>
      </c>
      <c r="V12" s="29"/>
      <c r="W12" s="29"/>
      <c r="X12" s="29" t="s">
        <v>198</v>
      </c>
      <c r="Y12" s="29"/>
      <c r="Z12" s="29"/>
      <c r="AA12" s="29" t="s">
        <v>14</v>
      </c>
      <c r="AB12" s="29"/>
      <c r="AC12" s="29"/>
      <c r="AD12" s="29" t="s">
        <v>2</v>
      </c>
      <c r="AE12" s="29"/>
      <c r="AF12" s="29"/>
      <c r="AG12" s="29" t="s">
        <v>45</v>
      </c>
      <c r="AH12" s="29"/>
      <c r="AI12" s="29"/>
      <c r="AJ12" s="29" t="s">
        <v>46</v>
      </c>
      <c r="AK12" s="29"/>
      <c r="AL12" s="29"/>
      <c r="AM12" s="29" t="s">
        <v>469</v>
      </c>
      <c r="AN12" s="29"/>
      <c r="AO12" s="29"/>
      <c r="AP12" s="29"/>
      <c r="AQ12" s="29"/>
      <c r="AS12" s="29"/>
      <c r="AT12" s="29"/>
      <c r="AU12" s="46" t="s">
        <v>509</v>
      </c>
      <c r="AV12" s="46"/>
      <c r="AW12" s="46"/>
      <c r="AX12" s="46" t="s">
        <v>510</v>
      </c>
      <c r="AY12" s="46"/>
      <c r="AZ12" s="46"/>
      <c r="BA12" s="46" t="s">
        <v>529</v>
      </c>
      <c r="BB12" s="46"/>
      <c r="BC12" s="46"/>
      <c r="BD12" s="46" t="s">
        <v>517</v>
      </c>
      <c r="BE12" s="46"/>
      <c r="BF12" s="46"/>
      <c r="BG12" s="46" t="s">
        <v>530</v>
      </c>
      <c r="BH12" s="46"/>
      <c r="BI12" s="46"/>
      <c r="BJ12" s="46" t="s">
        <v>532</v>
      </c>
      <c r="BK12" s="46"/>
      <c r="BL12" s="46"/>
      <c r="BM12" s="46" t="s">
        <v>78</v>
      </c>
      <c r="BN12" s="46"/>
      <c r="BO12" s="46"/>
      <c r="BP12" s="46" t="s">
        <v>514</v>
      </c>
      <c r="BQ12" s="46"/>
      <c r="BR12" s="46"/>
      <c r="BS12" s="46" t="s">
        <v>513</v>
      </c>
      <c r="BT12" s="46"/>
      <c r="BU12" s="46"/>
      <c r="BV12" s="46" t="s">
        <v>534</v>
      </c>
      <c r="BW12" s="46"/>
      <c r="BX12" s="46"/>
      <c r="BY12" s="46" t="s">
        <v>518</v>
      </c>
      <c r="BZ12" s="46"/>
      <c r="CA12" s="46"/>
      <c r="CB12" s="46" t="s">
        <v>519</v>
      </c>
      <c r="CC12" s="46"/>
      <c r="CD12" s="46"/>
      <c r="CE12" s="29"/>
      <c r="CF12" s="29"/>
      <c r="CG12" s="29"/>
      <c r="CH12" s="29"/>
      <c r="CI12" s="29"/>
      <c r="CK12" s="37" t="s">
        <v>466</v>
      </c>
      <c r="CL12" s="37"/>
      <c r="CM12" s="114" t="s">
        <v>10</v>
      </c>
      <c r="CN12" s="114"/>
      <c r="CO12" s="114"/>
      <c r="CP12" s="37" t="s">
        <v>5</v>
      </c>
      <c r="CQ12" s="37"/>
      <c r="CR12" s="37"/>
      <c r="CS12" s="37" t="s">
        <v>11</v>
      </c>
      <c r="CT12" s="37"/>
      <c r="CU12" s="37"/>
      <c r="CV12" s="37" t="s">
        <v>475</v>
      </c>
      <c r="CW12" s="37"/>
      <c r="CX12" s="37"/>
      <c r="CY12" s="37" t="s">
        <v>476</v>
      </c>
      <c r="CZ12" s="37"/>
      <c r="DA12" s="37"/>
      <c r="DB12" s="37" t="s">
        <v>12</v>
      </c>
      <c r="DC12" s="37"/>
      <c r="DD12" s="37"/>
      <c r="DE12" s="37" t="s">
        <v>6</v>
      </c>
      <c r="DF12" s="37"/>
      <c r="DG12" s="37"/>
      <c r="DH12" s="37" t="s">
        <v>198</v>
      </c>
      <c r="DI12" s="37"/>
      <c r="DJ12" s="37"/>
      <c r="DK12" s="37" t="s">
        <v>209</v>
      </c>
      <c r="DL12" s="37"/>
      <c r="DM12" s="37"/>
      <c r="DN12" s="114" t="s">
        <v>46</v>
      </c>
      <c r="DO12" s="114"/>
      <c r="DP12" s="114"/>
      <c r="DQ12" s="37" t="s">
        <v>467</v>
      </c>
      <c r="DR12" s="37"/>
      <c r="DS12" s="37"/>
      <c r="DT12" s="37" t="s">
        <v>468</v>
      </c>
      <c r="DU12" s="37"/>
      <c r="DV12" s="37"/>
      <c r="DW12" s="37" t="s">
        <v>469</v>
      </c>
      <c r="DX12" s="37"/>
      <c r="DY12" s="37"/>
      <c r="DZ12" s="37"/>
      <c r="EA12" s="37"/>
    </row>
    <row r="13" customFormat="false" ht="25.5" hidden="false" customHeight="true" outlineLevel="0" collapsed="false">
      <c r="A13" s="37" t="s">
        <v>473</v>
      </c>
      <c r="B13" s="37"/>
      <c r="C13" s="37"/>
      <c r="D13" s="29" t="s">
        <v>1</v>
      </c>
      <c r="E13" s="29"/>
      <c r="F13" s="29"/>
      <c r="G13" s="29" t="s">
        <v>8</v>
      </c>
      <c r="H13" s="29"/>
      <c r="I13" s="29"/>
      <c r="J13" s="29" t="s">
        <v>284</v>
      </c>
      <c r="K13" s="29"/>
      <c r="L13" s="29"/>
      <c r="M13" s="38" t="s">
        <v>47</v>
      </c>
      <c r="N13" s="38"/>
      <c r="O13" s="38"/>
      <c r="P13" s="29" t="s">
        <v>243</v>
      </c>
      <c r="Q13" s="29"/>
      <c r="R13" s="29"/>
      <c r="S13" s="29" t="s">
        <v>471</v>
      </c>
      <c r="T13" s="29"/>
      <c r="U13" s="29"/>
      <c r="V13" s="29" t="s">
        <v>468</v>
      </c>
      <c r="W13" s="29"/>
      <c r="X13" s="29"/>
      <c r="Y13" s="29" t="s">
        <v>16</v>
      </c>
      <c r="Z13" s="29"/>
      <c r="AA13" s="29"/>
      <c r="AB13" s="38" t="s">
        <v>12</v>
      </c>
      <c r="AC13" s="38"/>
      <c r="AD13" s="38"/>
      <c r="AE13" s="29" t="s">
        <v>4</v>
      </c>
      <c r="AF13" s="29"/>
      <c r="AG13" s="29"/>
      <c r="AH13" s="29" t="s">
        <v>5</v>
      </c>
      <c r="AI13" s="29"/>
      <c r="AJ13" s="29"/>
      <c r="AK13" s="29" t="s">
        <v>3</v>
      </c>
      <c r="AL13" s="29"/>
      <c r="AM13" s="29"/>
      <c r="AN13" s="39"/>
      <c r="AO13" s="39"/>
      <c r="AP13" s="39"/>
      <c r="AQ13" s="39"/>
      <c r="AS13" s="63"/>
      <c r="AT13" s="63"/>
      <c r="AU13" s="63"/>
      <c r="AV13" s="46" t="s">
        <v>526</v>
      </c>
      <c r="AW13" s="46"/>
      <c r="AX13" s="46"/>
      <c r="AY13" s="46" t="s">
        <v>53</v>
      </c>
      <c r="AZ13" s="46"/>
      <c r="BA13" s="46"/>
      <c r="BB13" s="46" t="s">
        <v>527</v>
      </c>
      <c r="BC13" s="46"/>
      <c r="BD13" s="46"/>
      <c r="BE13" s="51" t="s">
        <v>512</v>
      </c>
      <c r="BF13" s="51"/>
      <c r="BG13" s="51"/>
      <c r="BH13" s="46" t="s">
        <v>528</v>
      </c>
      <c r="BI13" s="46"/>
      <c r="BJ13" s="46"/>
      <c r="BK13" s="46" t="s">
        <v>531</v>
      </c>
      <c r="BL13" s="46"/>
      <c r="BM13" s="46"/>
      <c r="BN13" s="51" t="s">
        <v>546</v>
      </c>
      <c r="BO13" s="51"/>
      <c r="BP13" s="51"/>
      <c r="BQ13" s="46" t="s">
        <v>511</v>
      </c>
      <c r="BR13" s="46"/>
      <c r="BS13" s="46"/>
      <c r="BT13" s="46" t="s">
        <v>515</v>
      </c>
      <c r="BU13" s="46"/>
      <c r="BV13" s="46"/>
      <c r="BW13" s="46" t="s">
        <v>516</v>
      </c>
      <c r="BX13" s="46"/>
      <c r="BY13" s="46"/>
      <c r="BZ13" s="46" t="s">
        <v>535</v>
      </c>
      <c r="CA13" s="46"/>
      <c r="CB13" s="46"/>
      <c r="CC13" s="46" t="s">
        <v>536</v>
      </c>
      <c r="CD13" s="46"/>
      <c r="CE13" s="46"/>
      <c r="CF13" s="39"/>
      <c r="CG13" s="39"/>
      <c r="CH13" s="39"/>
      <c r="CI13" s="39"/>
      <c r="CK13" s="37" t="s">
        <v>473</v>
      </c>
      <c r="CL13" s="37"/>
      <c r="CM13" s="37"/>
      <c r="CN13" s="114" t="s">
        <v>1</v>
      </c>
      <c r="CO13" s="114"/>
      <c r="CP13" s="114"/>
      <c r="CQ13" s="37" t="s">
        <v>2</v>
      </c>
      <c r="CR13" s="37"/>
      <c r="CS13" s="37"/>
      <c r="CT13" s="37" t="s">
        <v>14</v>
      </c>
      <c r="CU13" s="37"/>
      <c r="CV13" s="37"/>
      <c r="CW13" s="38" t="s">
        <v>45</v>
      </c>
      <c r="CX13" s="38"/>
      <c r="CY13" s="38"/>
      <c r="CZ13" s="37" t="s">
        <v>462</v>
      </c>
      <c r="DA13" s="37"/>
      <c r="DB13" s="37"/>
      <c r="DC13" s="114" t="s">
        <v>16</v>
      </c>
      <c r="DD13" s="114"/>
      <c r="DE13" s="114"/>
      <c r="DF13" s="38" t="s">
        <v>13</v>
      </c>
      <c r="DG13" s="38"/>
      <c r="DH13" s="38"/>
      <c r="DI13" s="37" t="s">
        <v>105</v>
      </c>
      <c r="DJ13" s="37"/>
      <c r="DK13" s="37"/>
      <c r="DL13" s="37" t="s">
        <v>8</v>
      </c>
      <c r="DM13" s="37"/>
      <c r="DN13" s="37"/>
      <c r="DO13" s="37" t="s">
        <v>4</v>
      </c>
      <c r="DP13" s="37"/>
      <c r="DQ13" s="37"/>
      <c r="DR13" s="37" t="s">
        <v>471</v>
      </c>
      <c r="DS13" s="37"/>
      <c r="DT13" s="37"/>
      <c r="DU13" s="37" t="s">
        <v>472</v>
      </c>
      <c r="DV13" s="37"/>
      <c r="DW13" s="37"/>
      <c r="DX13" s="64"/>
      <c r="DY13" s="64"/>
      <c r="DZ13" s="64"/>
      <c r="EA13" s="64"/>
    </row>
    <row r="14" customFormat="false" ht="25.5" hidden="false" customHeight="true" outlineLevel="0" collapsed="false">
      <c r="A14" s="37" t="s">
        <v>474</v>
      </c>
      <c r="B14" s="37"/>
      <c r="C14" s="37"/>
      <c r="D14" s="37"/>
      <c r="E14" s="37" t="s">
        <v>7</v>
      </c>
      <c r="F14" s="37"/>
      <c r="G14" s="37"/>
      <c r="H14" s="37" t="s">
        <v>384</v>
      </c>
      <c r="I14" s="37"/>
      <c r="J14" s="37"/>
      <c r="K14" s="37" t="s">
        <v>353</v>
      </c>
      <c r="L14" s="37"/>
      <c r="M14" s="37"/>
      <c r="N14" s="37" t="s">
        <v>9</v>
      </c>
      <c r="O14" s="37"/>
      <c r="P14" s="37"/>
      <c r="Q14" s="37" t="s">
        <v>307</v>
      </c>
      <c r="R14" s="37"/>
      <c r="S14" s="37"/>
      <c r="T14" s="37" t="s">
        <v>477</v>
      </c>
      <c r="U14" s="37"/>
      <c r="V14" s="37"/>
      <c r="W14" s="29" t="s">
        <v>464</v>
      </c>
      <c r="X14" s="29"/>
      <c r="Y14" s="29" t="s">
        <v>474</v>
      </c>
      <c r="Z14" s="37" t="s">
        <v>13</v>
      </c>
      <c r="AA14" s="37"/>
      <c r="AB14" s="37"/>
      <c r="AC14" s="37" t="s">
        <v>15</v>
      </c>
      <c r="AD14" s="37"/>
      <c r="AE14" s="37"/>
      <c r="AF14" s="37" t="s">
        <v>475</v>
      </c>
      <c r="AG14" s="37"/>
      <c r="AH14" s="37"/>
      <c r="AI14" s="29" t="s">
        <v>476</v>
      </c>
      <c r="AJ14" s="29"/>
      <c r="AK14" s="29"/>
      <c r="AL14" s="29" t="s">
        <v>474</v>
      </c>
      <c r="AM14" s="29"/>
      <c r="AN14" s="29"/>
      <c r="AO14" s="29"/>
      <c r="AP14" s="29"/>
      <c r="AQ14" s="29"/>
      <c r="AS14" s="37"/>
      <c r="AT14" s="37"/>
      <c r="AU14" s="37"/>
      <c r="AV14" s="37"/>
      <c r="AW14" s="46" t="s">
        <v>541</v>
      </c>
      <c r="AX14" s="46"/>
      <c r="AY14" s="46"/>
      <c r="AZ14" s="46" t="s">
        <v>542</v>
      </c>
      <c r="BA14" s="46"/>
      <c r="BB14" s="46"/>
      <c r="BC14" s="46" t="s">
        <v>543</v>
      </c>
      <c r="BD14" s="46"/>
      <c r="BE14" s="46"/>
      <c r="BF14" s="46" t="s">
        <v>544</v>
      </c>
      <c r="BG14" s="46"/>
      <c r="BH14" s="46"/>
      <c r="BI14" s="46" t="s">
        <v>545</v>
      </c>
      <c r="BJ14" s="46"/>
      <c r="BK14" s="46"/>
      <c r="BL14" s="46" t="s">
        <v>533</v>
      </c>
      <c r="BM14" s="46"/>
      <c r="BN14" s="46"/>
      <c r="BO14" s="46" t="s">
        <v>547</v>
      </c>
      <c r="BP14" s="46"/>
      <c r="BQ14" s="46"/>
      <c r="BR14" s="46" t="s">
        <v>548</v>
      </c>
      <c r="BS14" s="46"/>
      <c r="BT14" s="46"/>
      <c r="BU14" s="46" t="s">
        <v>549</v>
      </c>
      <c r="BV14" s="46"/>
      <c r="BW14" s="46"/>
      <c r="BX14" s="46" t="s">
        <v>520</v>
      </c>
      <c r="BY14" s="46"/>
      <c r="BZ14" s="46"/>
      <c r="CA14" s="46" t="s">
        <v>537</v>
      </c>
      <c r="CB14" s="46"/>
      <c r="CC14" s="46" t="s">
        <v>474</v>
      </c>
      <c r="CD14" s="29"/>
      <c r="CE14" s="29"/>
      <c r="CF14" s="29"/>
      <c r="CG14" s="29"/>
      <c r="CH14" s="29"/>
      <c r="CI14" s="29"/>
      <c r="CK14" s="37" t="s">
        <v>474</v>
      </c>
      <c r="CL14" s="37"/>
      <c r="CM14" s="37"/>
      <c r="CN14" s="37"/>
      <c r="CO14" s="114" t="s">
        <v>477</v>
      </c>
      <c r="CP14" s="114"/>
      <c r="CQ14" s="114"/>
      <c r="CR14" s="114" t="s">
        <v>384</v>
      </c>
      <c r="CS14" s="114"/>
      <c r="CT14" s="114"/>
      <c r="CU14" s="114" t="s">
        <v>353</v>
      </c>
      <c r="CV14" s="114"/>
      <c r="CW14" s="114"/>
      <c r="CX14" s="114" t="s">
        <v>9</v>
      </c>
      <c r="CY14" s="114"/>
      <c r="CZ14" s="114"/>
      <c r="DA14" s="37" t="s">
        <v>475</v>
      </c>
      <c r="DB14" s="37"/>
      <c r="DC14" s="37"/>
      <c r="DD14" s="37" t="s">
        <v>307</v>
      </c>
      <c r="DE14" s="37"/>
      <c r="DF14" s="37"/>
      <c r="DG14" s="114" t="s">
        <v>15</v>
      </c>
      <c r="DH14" s="114"/>
      <c r="DI14" s="114"/>
      <c r="DJ14" s="37" t="s">
        <v>284</v>
      </c>
      <c r="DK14" s="37"/>
      <c r="DL14" s="37"/>
      <c r="DM14" s="37" t="s">
        <v>7</v>
      </c>
      <c r="DN14" s="37"/>
      <c r="DO14" s="37"/>
      <c r="DP14" s="37" t="s">
        <v>243</v>
      </c>
      <c r="DQ14" s="37"/>
      <c r="DR14" s="37"/>
      <c r="DS14" s="37" t="s">
        <v>464</v>
      </c>
      <c r="DT14" s="37"/>
      <c r="DU14" s="37" t="s">
        <v>474</v>
      </c>
      <c r="DV14" s="37" t="s">
        <v>474</v>
      </c>
      <c r="DW14" s="37"/>
      <c r="DX14" s="37"/>
      <c r="DY14" s="37"/>
      <c r="DZ14" s="37"/>
      <c r="EA14" s="37"/>
    </row>
    <row r="15" customFormat="false" ht="12.8" hidden="false" customHeight="false" outlineLevel="0" collapsed="false">
      <c r="A15" s="37" t="s">
        <v>478</v>
      </c>
      <c r="B15" s="37" t="s">
        <v>479</v>
      </c>
      <c r="C15" s="37"/>
      <c r="D15" s="37"/>
      <c r="E15" s="37" t="s">
        <v>480</v>
      </c>
      <c r="F15" s="37"/>
      <c r="G15" s="37"/>
      <c r="H15" s="37" t="s">
        <v>481</v>
      </c>
      <c r="I15" s="37"/>
      <c r="J15" s="37"/>
      <c r="K15" s="42" t="s">
        <v>482</v>
      </c>
      <c r="L15" s="42"/>
      <c r="M15" s="42"/>
      <c r="N15" s="37" t="s">
        <v>483</v>
      </c>
      <c r="O15" s="37"/>
      <c r="P15" s="37" t="s">
        <v>484</v>
      </c>
      <c r="Q15" s="37"/>
      <c r="R15" s="37"/>
      <c r="S15" s="37"/>
      <c r="T15" s="37"/>
      <c r="U15" s="37"/>
      <c r="V15" s="37" t="s">
        <v>485</v>
      </c>
      <c r="W15" s="42" t="s">
        <v>485</v>
      </c>
      <c r="X15" s="42"/>
      <c r="Y15" s="42"/>
      <c r="Z15" s="37" t="s">
        <v>557</v>
      </c>
      <c r="AA15" s="37"/>
      <c r="AB15" s="37"/>
      <c r="AC15" s="37" t="s">
        <v>481</v>
      </c>
      <c r="AD15" s="37"/>
      <c r="AE15" s="37"/>
      <c r="AF15" s="37" t="s">
        <v>478</v>
      </c>
      <c r="AG15" s="37"/>
      <c r="AH15" s="37"/>
      <c r="AI15" s="44"/>
      <c r="AJ15" s="44"/>
      <c r="AK15" s="44"/>
      <c r="AL15" s="34" t="s">
        <v>487</v>
      </c>
      <c r="AM15" s="34"/>
      <c r="AN15" s="34"/>
      <c r="AO15" s="44"/>
      <c r="AP15" s="44"/>
      <c r="AQ15" s="44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63"/>
      <c r="BG15" s="63"/>
      <c r="BH15" s="63"/>
      <c r="BI15" s="63"/>
      <c r="BJ15" s="63"/>
      <c r="BK15" s="63"/>
      <c r="BL15" s="63"/>
      <c r="BM15" s="63"/>
      <c r="BN15" s="63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44"/>
      <c r="CB15" s="44"/>
      <c r="CC15" s="44"/>
      <c r="CD15" s="34"/>
      <c r="CE15" s="34"/>
      <c r="CF15" s="34"/>
      <c r="CG15" s="44"/>
      <c r="CH15" s="44"/>
      <c r="CI15" s="44"/>
      <c r="CK15" s="37" t="s">
        <v>478</v>
      </c>
      <c r="CL15" s="37" t="s">
        <v>479</v>
      </c>
      <c r="CM15" s="37"/>
      <c r="CN15" s="37"/>
      <c r="CO15" s="37" t="s">
        <v>480</v>
      </c>
      <c r="CP15" s="37"/>
      <c r="CQ15" s="37"/>
      <c r="CR15" s="37" t="s">
        <v>481</v>
      </c>
      <c r="CS15" s="37"/>
      <c r="CT15" s="37"/>
      <c r="CU15" s="42" t="s">
        <v>482</v>
      </c>
      <c r="CV15" s="42"/>
      <c r="CW15" s="42"/>
      <c r="CX15" s="37" t="s">
        <v>483</v>
      </c>
      <c r="CY15" s="37"/>
      <c r="CZ15" s="37" t="s">
        <v>484</v>
      </c>
      <c r="DA15" s="37"/>
      <c r="DB15" s="37"/>
      <c r="DC15" s="37"/>
      <c r="DD15" s="37"/>
      <c r="DE15" s="37"/>
      <c r="DF15" s="37" t="s">
        <v>485</v>
      </c>
      <c r="DG15" s="42" t="s">
        <v>485</v>
      </c>
      <c r="DH15" s="42"/>
      <c r="DI15" s="42"/>
      <c r="DJ15" s="37" t="s">
        <v>557</v>
      </c>
      <c r="DK15" s="37"/>
      <c r="DL15" s="37"/>
      <c r="DM15" s="37" t="s">
        <v>481</v>
      </c>
      <c r="DN15" s="37"/>
      <c r="DO15" s="37"/>
      <c r="DP15" s="37" t="s">
        <v>478</v>
      </c>
      <c r="DQ15" s="37"/>
      <c r="DR15" s="37"/>
      <c r="DS15" s="63"/>
      <c r="DT15" s="63"/>
      <c r="DU15" s="63"/>
      <c r="DV15" s="63" t="s">
        <v>487</v>
      </c>
      <c r="DW15" s="63"/>
      <c r="DX15" s="63"/>
      <c r="DY15" s="63"/>
      <c r="DZ15" s="63"/>
      <c r="EA15" s="63"/>
    </row>
    <row r="16" customFormat="false" ht="12.8" hidden="false" customHeight="false" outlineLevel="0" collapsed="false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42"/>
      <c r="L16" s="42"/>
      <c r="M16" s="42"/>
      <c r="N16" s="37"/>
      <c r="O16" s="37"/>
      <c r="P16" s="37"/>
      <c r="Q16" s="37"/>
      <c r="R16" s="37"/>
      <c r="S16" s="37"/>
      <c r="T16" s="37"/>
      <c r="U16" s="37"/>
      <c r="V16" s="37"/>
      <c r="W16" s="42"/>
      <c r="X16" s="42"/>
      <c r="Y16" s="42"/>
      <c r="Z16" s="37"/>
      <c r="AA16" s="37"/>
      <c r="AB16" s="37"/>
      <c r="AC16" s="37"/>
      <c r="AD16" s="37"/>
      <c r="AE16" s="37"/>
      <c r="AF16" s="37"/>
      <c r="AG16" s="37"/>
      <c r="AH16" s="37"/>
      <c r="AI16" s="34" t="s">
        <v>402</v>
      </c>
      <c r="AJ16" s="34"/>
      <c r="AK16" s="34" t="s">
        <v>488</v>
      </c>
      <c r="AL16" s="34" t="s">
        <v>488</v>
      </c>
      <c r="AM16" s="34"/>
      <c r="AN16" s="34"/>
      <c r="AO16" s="34" t="s">
        <v>400</v>
      </c>
      <c r="AP16" s="34"/>
      <c r="AQ16" s="34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63"/>
      <c r="BG16" s="63"/>
      <c r="BH16" s="63"/>
      <c r="BI16" s="63"/>
      <c r="BJ16" s="63"/>
      <c r="BK16" s="63"/>
      <c r="BL16" s="63"/>
      <c r="BM16" s="63"/>
      <c r="BN16" s="63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4"/>
      <c r="CB16" s="34"/>
      <c r="CC16" s="34"/>
      <c r="CD16" s="34"/>
      <c r="CE16" s="34"/>
      <c r="CF16" s="34"/>
      <c r="CG16" s="34"/>
      <c r="CH16" s="34"/>
      <c r="CI16" s="34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42"/>
      <c r="CV16" s="42"/>
      <c r="CW16" s="42"/>
      <c r="CX16" s="37"/>
      <c r="CY16" s="37"/>
      <c r="CZ16" s="37"/>
      <c r="DA16" s="37"/>
      <c r="DB16" s="37"/>
      <c r="DC16" s="37"/>
      <c r="DD16" s="37"/>
      <c r="DE16" s="37"/>
      <c r="DF16" s="37"/>
      <c r="DG16" s="42"/>
      <c r="DH16" s="42"/>
      <c r="DI16" s="42"/>
      <c r="DJ16" s="37"/>
      <c r="DK16" s="37"/>
      <c r="DL16" s="37"/>
      <c r="DM16" s="37"/>
      <c r="DN16" s="37"/>
      <c r="DO16" s="37"/>
      <c r="DP16" s="37"/>
      <c r="DQ16" s="37"/>
      <c r="DR16" s="37"/>
      <c r="DS16" s="63" t="s">
        <v>402</v>
      </c>
      <c r="DT16" s="63"/>
      <c r="DU16" s="63" t="s">
        <v>488</v>
      </c>
      <c r="DV16" s="63" t="s">
        <v>488</v>
      </c>
      <c r="DW16" s="63"/>
      <c r="DX16" s="63"/>
      <c r="DY16" s="63" t="s">
        <v>400</v>
      </c>
      <c r="DZ16" s="63"/>
      <c r="EA16" s="63"/>
    </row>
    <row r="17" customFormat="false" ht="12.8" hidden="false" customHeight="false" outlineLevel="0" collapsed="false">
      <c r="A17" s="45"/>
      <c r="B17" s="45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</row>
    <row r="18" customFormat="false" ht="14" hidden="false" customHeight="false" outlineLevel="0" collapsed="false">
      <c r="A18" s="28" t="s">
        <v>696</v>
      </c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7"/>
      <c r="AS18" s="17" t="s">
        <v>698</v>
      </c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7"/>
    </row>
    <row r="19" customFormat="false" ht="25.5" hidden="false" customHeight="true" outlineLevel="0" collapsed="false">
      <c r="A19" s="63" t="s">
        <v>461</v>
      </c>
      <c r="B19" s="63" t="n">
        <v>1</v>
      </c>
      <c r="C19" s="63"/>
      <c r="D19" s="63"/>
      <c r="E19" s="63" t="n">
        <v>2</v>
      </c>
      <c r="F19" s="63"/>
      <c r="G19" s="63"/>
      <c r="H19" s="63" t="n">
        <v>3</v>
      </c>
      <c r="I19" s="63"/>
      <c r="J19" s="63"/>
      <c r="K19" s="63" t="n">
        <v>4</v>
      </c>
      <c r="L19" s="63"/>
      <c r="M19" s="63"/>
      <c r="N19" s="63" t="n">
        <v>5</v>
      </c>
      <c r="O19" s="63"/>
      <c r="P19" s="63"/>
      <c r="Q19" s="63" t="n">
        <v>6</v>
      </c>
      <c r="R19" s="63"/>
      <c r="S19" s="63"/>
      <c r="T19" s="63" t="n">
        <v>7</v>
      </c>
      <c r="U19" s="63"/>
      <c r="V19" s="63"/>
      <c r="W19" s="63" t="n">
        <v>8</v>
      </c>
      <c r="X19" s="63"/>
      <c r="Y19" s="63"/>
      <c r="Z19" s="63" t="n">
        <v>9</v>
      </c>
      <c r="AA19" s="63"/>
      <c r="AB19" s="63"/>
      <c r="AC19" s="63" t="n">
        <v>0</v>
      </c>
      <c r="AD19" s="63"/>
      <c r="AE19" s="63"/>
      <c r="AF19" s="37" t="s">
        <v>462</v>
      </c>
      <c r="AG19" s="37"/>
      <c r="AH19" s="37"/>
      <c r="AI19" s="37" t="s">
        <v>463</v>
      </c>
      <c r="AJ19" s="37"/>
      <c r="AK19" s="37"/>
      <c r="AL19" s="37" t="s">
        <v>464</v>
      </c>
      <c r="AM19" s="37"/>
      <c r="AN19" s="37"/>
      <c r="AO19" s="37" t="s">
        <v>465</v>
      </c>
      <c r="AP19" s="37"/>
      <c r="AQ19" s="37"/>
      <c r="AS19" s="34"/>
      <c r="AT19" s="46" t="s">
        <v>491</v>
      </c>
      <c r="AU19" s="46"/>
      <c r="AV19" s="46"/>
      <c r="AW19" s="47" t="s">
        <v>492</v>
      </c>
      <c r="AX19" s="47"/>
      <c r="AY19" s="47"/>
      <c r="AZ19" s="46" t="s">
        <v>493</v>
      </c>
      <c r="BA19" s="46"/>
      <c r="BB19" s="46"/>
      <c r="BC19" s="46" t="s">
        <v>494</v>
      </c>
      <c r="BD19" s="46"/>
      <c r="BE19" s="46"/>
      <c r="BF19" s="46" t="s">
        <v>495</v>
      </c>
      <c r="BG19" s="46"/>
      <c r="BH19" s="46"/>
      <c r="BI19" s="46" t="s">
        <v>496</v>
      </c>
      <c r="BJ19" s="46"/>
      <c r="BK19" s="46"/>
      <c r="BL19" s="46" t="s">
        <v>497</v>
      </c>
      <c r="BM19" s="46"/>
      <c r="BN19" s="46"/>
      <c r="BO19" s="46" t="s">
        <v>498</v>
      </c>
      <c r="BP19" s="46"/>
      <c r="BQ19" s="46"/>
      <c r="BR19" s="46" t="s">
        <v>499</v>
      </c>
      <c r="BS19" s="46"/>
      <c r="BT19" s="46"/>
      <c r="BU19" s="34"/>
      <c r="BV19" s="34"/>
      <c r="BW19" s="34"/>
      <c r="BX19" s="46" t="s">
        <v>500</v>
      </c>
      <c r="BY19" s="46"/>
      <c r="BZ19" s="46"/>
      <c r="CA19" s="46" t="s">
        <v>501</v>
      </c>
      <c r="CB19" s="46"/>
      <c r="CC19" s="46"/>
      <c r="CD19" s="46" t="s">
        <v>502</v>
      </c>
      <c r="CE19" s="46"/>
      <c r="CF19" s="46"/>
      <c r="CG19" s="34"/>
      <c r="CH19" s="34"/>
      <c r="CI19" s="34"/>
    </row>
    <row r="20" customFormat="false" ht="25.5" hidden="false" customHeight="true" outlineLevel="0" collapsed="false">
      <c r="A20" s="37" t="s">
        <v>466</v>
      </c>
      <c r="B20" s="37"/>
      <c r="C20" s="37" t="s">
        <v>10</v>
      </c>
      <c r="D20" s="37"/>
      <c r="E20" s="37"/>
      <c r="F20" s="37" t="s">
        <v>6</v>
      </c>
      <c r="G20" s="37"/>
      <c r="H20" s="37"/>
      <c r="I20" s="115" t="s">
        <v>5</v>
      </c>
      <c r="J20" s="115"/>
      <c r="K20" s="115"/>
      <c r="L20" s="115" t="s">
        <v>46</v>
      </c>
      <c r="M20" s="115"/>
      <c r="N20" s="115"/>
      <c r="O20" s="115" t="s">
        <v>243</v>
      </c>
      <c r="P20" s="115"/>
      <c r="Q20" s="115"/>
      <c r="R20" s="115" t="s">
        <v>12</v>
      </c>
      <c r="S20" s="115"/>
      <c r="T20" s="115"/>
      <c r="U20" s="115" t="s">
        <v>47</v>
      </c>
      <c r="V20" s="115"/>
      <c r="W20" s="115"/>
      <c r="X20" s="115" t="s">
        <v>14</v>
      </c>
      <c r="Y20" s="115"/>
      <c r="Z20" s="115"/>
      <c r="AA20" s="115" t="s">
        <v>198</v>
      </c>
      <c r="AB20" s="115"/>
      <c r="AC20" s="115"/>
      <c r="AD20" s="115" t="s">
        <v>3</v>
      </c>
      <c r="AE20" s="115"/>
      <c r="AF20" s="115"/>
      <c r="AG20" s="37" t="s">
        <v>467</v>
      </c>
      <c r="AH20" s="37"/>
      <c r="AI20" s="37"/>
      <c r="AJ20" s="37" t="s">
        <v>468</v>
      </c>
      <c r="AK20" s="37"/>
      <c r="AL20" s="37"/>
      <c r="AM20" s="37" t="s">
        <v>469</v>
      </c>
      <c r="AN20" s="37"/>
      <c r="AO20" s="37"/>
      <c r="AP20" s="37"/>
      <c r="AQ20" s="37"/>
      <c r="AS20" s="29"/>
      <c r="AT20" s="29"/>
      <c r="AU20" s="46" t="s">
        <v>509</v>
      </c>
      <c r="AV20" s="46"/>
      <c r="AW20" s="46"/>
      <c r="AX20" s="46" t="s">
        <v>510</v>
      </c>
      <c r="AY20" s="46"/>
      <c r="AZ20" s="46"/>
      <c r="BA20" s="46" t="s">
        <v>529</v>
      </c>
      <c r="BB20" s="46"/>
      <c r="BC20" s="46"/>
      <c r="BD20" s="46" t="s">
        <v>517</v>
      </c>
      <c r="BE20" s="46"/>
      <c r="BF20" s="46"/>
      <c r="BG20" s="46" t="s">
        <v>530</v>
      </c>
      <c r="BH20" s="46"/>
      <c r="BI20" s="46"/>
      <c r="BJ20" s="46" t="s">
        <v>532</v>
      </c>
      <c r="BK20" s="46"/>
      <c r="BL20" s="46"/>
      <c r="BM20" s="46" t="s">
        <v>78</v>
      </c>
      <c r="BN20" s="46"/>
      <c r="BO20" s="46"/>
      <c r="BP20" s="46" t="s">
        <v>514</v>
      </c>
      <c r="BQ20" s="46"/>
      <c r="BR20" s="46"/>
      <c r="BS20" s="46" t="s">
        <v>513</v>
      </c>
      <c r="BT20" s="46"/>
      <c r="BU20" s="46"/>
      <c r="BV20" s="46" t="s">
        <v>534</v>
      </c>
      <c r="BW20" s="46"/>
      <c r="BX20" s="46"/>
      <c r="BY20" s="46" t="s">
        <v>518</v>
      </c>
      <c r="BZ20" s="46"/>
      <c r="CA20" s="46"/>
      <c r="CB20" s="46" t="s">
        <v>519</v>
      </c>
      <c r="CC20" s="46"/>
      <c r="CD20" s="46"/>
      <c r="CE20" s="29"/>
      <c r="CF20" s="29"/>
      <c r="CG20" s="29"/>
      <c r="CH20" s="29"/>
      <c r="CI20" s="29"/>
    </row>
    <row r="21" customFormat="false" ht="25.5" hidden="false" customHeight="true" outlineLevel="0" collapsed="false">
      <c r="A21" s="37" t="s">
        <v>473</v>
      </c>
      <c r="B21" s="37"/>
      <c r="C21" s="37"/>
      <c r="D21" s="37" t="s">
        <v>1</v>
      </c>
      <c r="E21" s="37"/>
      <c r="F21" s="37"/>
      <c r="G21" s="115" t="s">
        <v>209</v>
      </c>
      <c r="H21" s="115"/>
      <c r="I21" s="115"/>
      <c r="J21" s="115" t="s">
        <v>8</v>
      </c>
      <c r="K21" s="115"/>
      <c r="L21" s="115"/>
      <c r="M21" s="116" t="s">
        <v>105</v>
      </c>
      <c r="N21" s="116"/>
      <c r="O21" s="116"/>
      <c r="P21" s="115" t="s">
        <v>284</v>
      </c>
      <c r="Q21" s="115"/>
      <c r="R21" s="115"/>
      <c r="S21" s="37" t="s">
        <v>16</v>
      </c>
      <c r="T21" s="37"/>
      <c r="U21" s="37"/>
      <c r="V21" s="116" t="s">
        <v>13</v>
      </c>
      <c r="W21" s="116"/>
      <c r="X21" s="116"/>
      <c r="Y21" s="115" t="s">
        <v>11</v>
      </c>
      <c r="Z21" s="115"/>
      <c r="AA21" s="115"/>
      <c r="AB21" s="115" t="s">
        <v>2</v>
      </c>
      <c r="AC21" s="115"/>
      <c r="AD21" s="115"/>
      <c r="AE21" s="115" t="s">
        <v>45</v>
      </c>
      <c r="AF21" s="115"/>
      <c r="AG21" s="115"/>
      <c r="AH21" s="37" t="s">
        <v>471</v>
      </c>
      <c r="AI21" s="37"/>
      <c r="AJ21" s="37"/>
      <c r="AK21" s="37" t="s">
        <v>472</v>
      </c>
      <c r="AL21" s="37"/>
      <c r="AM21" s="37"/>
      <c r="AN21" s="64"/>
      <c r="AO21" s="64"/>
      <c r="AP21" s="64"/>
      <c r="AQ21" s="64"/>
      <c r="AS21" s="63"/>
      <c r="AT21" s="63"/>
      <c r="AU21" s="63"/>
      <c r="AV21" s="46" t="s">
        <v>526</v>
      </c>
      <c r="AW21" s="46"/>
      <c r="AX21" s="46"/>
      <c r="AY21" s="46" t="s">
        <v>53</v>
      </c>
      <c r="AZ21" s="46"/>
      <c r="BA21" s="46"/>
      <c r="BB21" s="46" t="s">
        <v>527</v>
      </c>
      <c r="BC21" s="46"/>
      <c r="BD21" s="46"/>
      <c r="BE21" s="51" t="s">
        <v>512</v>
      </c>
      <c r="BF21" s="51"/>
      <c r="BG21" s="51"/>
      <c r="BH21" s="46" t="s">
        <v>528</v>
      </c>
      <c r="BI21" s="46"/>
      <c r="BJ21" s="46"/>
      <c r="BK21" s="46" t="s">
        <v>531</v>
      </c>
      <c r="BL21" s="46"/>
      <c r="BM21" s="46"/>
      <c r="BN21" s="51" t="s">
        <v>546</v>
      </c>
      <c r="BO21" s="51"/>
      <c r="BP21" s="51"/>
      <c r="BQ21" s="46" t="s">
        <v>511</v>
      </c>
      <c r="BR21" s="46"/>
      <c r="BS21" s="46"/>
      <c r="BT21" s="46" t="s">
        <v>515</v>
      </c>
      <c r="BU21" s="46"/>
      <c r="BV21" s="46"/>
      <c r="BW21" s="46" t="s">
        <v>516</v>
      </c>
      <c r="BX21" s="46"/>
      <c r="BY21" s="46"/>
      <c r="BZ21" s="46" t="s">
        <v>535</v>
      </c>
      <c r="CA21" s="46"/>
      <c r="CB21" s="46"/>
      <c r="CC21" s="46" t="s">
        <v>536</v>
      </c>
      <c r="CD21" s="46"/>
      <c r="CE21" s="46"/>
      <c r="CF21" s="39"/>
      <c r="CG21" s="39"/>
      <c r="CH21" s="39"/>
      <c r="CI21" s="39"/>
    </row>
    <row r="22" customFormat="false" ht="25.5" hidden="false" customHeight="true" outlineLevel="0" collapsed="false">
      <c r="A22" s="37" t="s">
        <v>474</v>
      </c>
      <c r="B22" s="37"/>
      <c r="C22" s="37"/>
      <c r="D22" s="37"/>
      <c r="E22" s="37" t="s">
        <v>7</v>
      </c>
      <c r="F22" s="37"/>
      <c r="G22" s="37"/>
      <c r="H22" s="37" t="s">
        <v>384</v>
      </c>
      <c r="I22" s="37"/>
      <c r="J22" s="37"/>
      <c r="K22" s="37" t="s">
        <v>353</v>
      </c>
      <c r="L22" s="37"/>
      <c r="M22" s="37"/>
      <c r="N22" s="37" t="s">
        <v>9</v>
      </c>
      <c r="O22" s="37"/>
      <c r="P22" s="37"/>
      <c r="Q22" s="37" t="s">
        <v>307</v>
      </c>
      <c r="R22" s="37"/>
      <c r="S22" s="37"/>
      <c r="T22" s="115" t="s">
        <v>4</v>
      </c>
      <c r="U22" s="115"/>
      <c r="V22" s="115"/>
      <c r="W22" s="37" t="s">
        <v>15</v>
      </c>
      <c r="X22" s="37"/>
      <c r="Y22" s="37"/>
      <c r="Z22" s="37" t="s">
        <v>475</v>
      </c>
      <c r="AA22" s="37"/>
      <c r="AB22" s="37"/>
      <c r="AC22" s="37" t="s">
        <v>476</v>
      </c>
      <c r="AD22" s="37"/>
      <c r="AE22" s="37"/>
      <c r="AF22" s="37" t="s">
        <v>477</v>
      </c>
      <c r="AG22" s="37"/>
      <c r="AH22" s="37"/>
      <c r="AI22" s="37" t="s">
        <v>464</v>
      </c>
      <c r="AJ22" s="37"/>
      <c r="AK22" s="37" t="s">
        <v>474</v>
      </c>
      <c r="AL22" s="37" t="s">
        <v>474</v>
      </c>
      <c r="AM22" s="37"/>
      <c r="AN22" s="37"/>
      <c r="AO22" s="37"/>
      <c r="AP22" s="37"/>
      <c r="AQ22" s="37"/>
      <c r="AS22" s="37"/>
      <c r="AT22" s="37"/>
      <c r="AU22" s="37"/>
      <c r="AV22" s="37"/>
      <c r="AW22" s="46" t="s">
        <v>541</v>
      </c>
      <c r="AX22" s="46"/>
      <c r="AY22" s="46"/>
      <c r="AZ22" s="46" t="s">
        <v>542</v>
      </c>
      <c r="BA22" s="46"/>
      <c r="BB22" s="46"/>
      <c r="BC22" s="46" t="s">
        <v>543</v>
      </c>
      <c r="BD22" s="46"/>
      <c r="BE22" s="46"/>
      <c r="BF22" s="46" t="s">
        <v>544</v>
      </c>
      <c r="BG22" s="46"/>
      <c r="BH22" s="46"/>
      <c r="BI22" s="46" t="s">
        <v>545</v>
      </c>
      <c r="BJ22" s="46"/>
      <c r="BK22" s="46"/>
      <c r="BL22" s="46" t="s">
        <v>533</v>
      </c>
      <c r="BM22" s="46"/>
      <c r="BN22" s="46"/>
      <c r="BO22" s="46" t="s">
        <v>547</v>
      </c>
      <c r="BP22" s="46"/>
      <c r="BQ22" s="46"/>
      <c r="BR22" s="46" t="s">
        <v>548</v>
      </c>
      <c r="BS22" s="46"/>
      <c r="BT22" s="46"/>
      <c r="BU22" s="46" t="s">
        <v>549</v>
      </c>
      <c r="BV22" s="46"/>
      <c r="BW22" s="46"/>
      <c r="BX22" s="46" t="s">
        <v>520</v>
      </c>
      <c r="BY22" s="46"/>
      <c r="BZ22" s="46"/>
      <c r="CA22" s="46" t="s">
        <v>537</v>
      </c>
      <c r="CB22" s="46"/>
      <c r="CC22" s="46" t="s">
        <v>474</v>
      </c>
      <c r="CD22" s="29"/>
      <c r="CE22" s="29"/>
      <c r="CF22" s="29"/>
      <c r="CG22" s="29"/>
      <c r="CH22" s="29"/>
      <c r="CI22" s="29"/>
    </row>
    <row r="23" customFormat="false" ht="12.8" hidden="false" customHeight="false" outlineLevel="0" collapsed="false">
      <c r="A23" s="37" t="s">
        <v>478</v>
      </c>
      <c r="B23" s="37" t="s">
        <v>479</v>
      </c>
      <c r="C23" s="37"/>
      <c r="D23" s="37"/>
      <c r="E23" s="37" t="s">
        <v>480</v>
      </c>
      <c r="F23" s="37"/>
      <c r="G23" s="37"/>
      <c r="H23" s="37" t="s">
        <v>481</v>
      </c>
      <c r="I23" s="37"/>
      <c r="J23" s="37"/>
      <c r="K23" s="42" t="s">
        <v>482</v>
      </c>
      <c r="L23" s="42"/>
      <c r="M23" s="42"/>
      <c r="N23" s="37" t="s">
        <v>483</v>
      </c>
      <c r="O23" s="37"/>
      <c r="P23" s="37" t="s">
        <v>484</v>
      </c>
      <c r="Q23" s="37"/>
      <c r="R23" s="37"/>
      <c r="S23" s="37"/>
      <c r="T23" s="37"/>
      <c r="U23" s="37"/>
      <c r="V23" s="37" t="s">
        <v>485</v>
      </c>
      <c r="W23" s="42" t="s">
        <v>485</v>
      </c>
      <c r="X23" s="42"/>
      <c r="Y23" s="42"/>
      <c r="Z23" s="37" t="s">
        <v>557</v>
      </c>
      <c r="AA23" s="37"/>
      <c r="AB23" s="37"/>
      <c r="AC23" s="37" t="s">
        <v>481</v>
      </c>
      <c r="AD23" s="37"/>
      <c r="AE23" s="37"/>
      <c r="AF23" s="37" t="s">
        <v>478</v>
      </c>
      <c r="AG23" s="37"/>
      <c r="AH23" s="37"/>
      <c r="AI23" s="63"/>
      <c r="AJ23" s="63"/>
      <c r="AK23" s="63"/>
      <c r="AL23" s="63" t="s">
        <v>487</v>
      </c>
      <c r="AM23" s="63"/>
      <c r="AN23" s="63"/>
      <c r="AO23" s="63"/>
      <c r="AP23" s="63"/>
      <c r="AQ23" s="63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63"/>
      <c r="BG23" s="63"/>
      <c r="BH23" s="63"/>
      <c r="BI23" s="63"/>
      <c r="BJ23" s="63"/>
      <c r="BK23" s="63"/>
      <c r="BL23" s="63"/>
      <c r="BM23" s="63"/>
      <c r="BN23" s="63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44"/>
      <c r="CB23" s="44"/>
      <c r="CC23" s="44"/>
      <c r="CD23" s="34"/>
      <c r="CE23" s="34"/>
      <c r="CF23" s="34"/>
      <c r="CG23" s="44"/>
      <c r="CH23" s="44"/>
      <c r="CI23" s="44"/>
    </row>
    <row r="24" customFormat="false" ht="12.8" hidden="false" customHeight="false" outlineLevel="0" collapsed="false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42"/>
      <c r="L24" s="42"/>
      <c r="M24" s="42"/>
      <c r="N24" s="37"/>
      <c r="O24" s="37"/>
      <c r="P24" s="37"/>
      <c r="Q24" s="37"/>
      <c r="R24" s="37"/>
      <c r="S24" s="37"/>
      <c r="T24" s="37"/>
      <c r="U24" s="37"/>
      <c r="V24" s="37"/>
      <c r="W24" s="42"/>
      <c r="X24" s="42"/>
      <c r="Y24" s="42"/>
      <c r="Z24" s="37"/>
      <c r="AA24" s="37"/>
      <c r="AB24" s="37"/>
      <c r="AC24" s="37"/>
      <c r="AD24" s="37"/>
      <c r="AE24" s="37"/>
      <c r="AF24" s="37"/>
      <c r="AG24" s="37"/>
      <c r="AH24" s="37"/>
      <c r="AI24" s="63" t="s">
        <v>402</v>
      </c>
      <c r="AJ24" s="63"/>
      <c r="AK24" s="63" t="s">
        <v>488</v>
      </c>
      <c r="AL24" s="63" t="s">
        <v>488</v>
      </c>
      <c r="AM24" s="63"/>
      <c r="AN24" s="63"/>
      <c r="AO24" s="63" t="s">
        <v>400</v>
      </c>
      <c r="AP24" s="63"/>
      <c r="AQ24" s="63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63"/>
      <c r="BG24" s="63"/>
      <c r="BH24" s="63"/>
      <c r="BI24" s="63"/>
      <c r="BJ24" s="63"/>
      <c r="BK24" s="63"/>
      <c r="BL24" s="63"/>
      <c r="BM24" s="63"/>
      <c r="BN24" s="63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4"/>
      <c r="CB24" s="34"/>
      <c r="CC24" s="34"/>
      <c r="CD24" s="34"/>
      <c r="CE24" s="34"/>
      <c r="CF24" s="34"/>
      <c r="CG24" s="34"/>
      <c r="CH24" s="34"/>
      <c r="CI24" s="34"/>
    </row>
    <row r="25" customFormat="false" ht="12.8" hidden="false" customHeight="false" outlineLevel="0" collapsed="false">
      <c r="A25" s="45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5"/>
    </row>
    <row r="26" customFormat="false" ht="12.8" hidden="false" customHeight="false" outlineLevel="0" collapsed="false">
      <c r="A26" s="28" t="s">
        <v>699</v>
      </c>
      <c r="B26" s="6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7"/>
      <c r="AS26" s="17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7"/>
    </row>
    <row r="27" customFormat="false" ht="25.5" hidden="false" customHeight="true" outlineLevel="0" collapsed="false">
      <c r="A27" s="63" t="s">
        <v>461</v>
      </c>
      <c r="B27" s="63" t="n">
        <v>1</v>
      </c>
      <c r="C27" s="63"/>
      <c r="D27" s="63"/>
      <c r="E27" s="63" t="n">
        <v>2</v>
      </c>
      <c r="F27" s="63"/>
      <c r="G27" s="63"/>
      <c r="H27" s="63" t="n">
        <v>3</v>
      </c>
      <c r="I27" s="63"/>
      <c r="J27" s="63"/>
      <c r="K27" s="63" t="n">
        <v>4</v>
      </c>
      <c r="L27" s="63"/>
      <c r="M27" s="63"/>
      <c r="N27" s="63" t="n">
        <v>5</v>
      </c>
      <c r="O27" s="63"/>
      <c r="P27" s="63"/>
      <c r="Q27" s="63" t="n">
        <v>6</v>
      </c>
      <c r="R27" s="63"/>
      <c r="S27" s="63"/>
      <c r="T27" s="63" t="n">
        <v>7</v>
      </c>
      <c r="U27" s="63"/>
      <c r="V27" s="63"/>
      <c r="W27" s="63" t="n">
        <v>8</v>
      </c>
      <c r="X27" s="63"/>
      <c r="Y27" s="63"/>
      <c r="Z27" s="63" t="n">
        <v>9</v>
      </c>
      <c r="AA27" s="63"/>
      <c r="AB27" s="63"/>
      <c r="AC27" s="63" t="n">
        <v>0</v>
      </c>
      <c r="AD27" s="63"/>
      <c r="AE27" s="63"/>
      <c r="AF27" s="37" t="s">
        <v>477</v>
      </c>
      <c r="AG27" s="37"/>
      <c r="AH27" s="37"/>
      <c r="AI27" s="37" t="s">
        <v>463</v>
      </c>
      <c r="AJ27" s="37"/>
      <c r="AK27" s="37"/>
      <c r="AL27" s="37" t="s">
        <v>464</v>
      </c>
      <c r="AM27" s="37"/>
      <c r="AN27" s="37"/>
      <c r="AO27" s="37" t="s">
        <v>465</v>
      </c>
      <c r="AP27" s="37"/>
      <c r="AQ27" s="37"/>
      <c r="AS27" s="34" t="s">
        <v>461</v>
      </c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29" t="s">
        <v>465</v>
      </c>
      <c r="CH27" s="29"/>
      <c r="CI27" s="29"/>
    </row>
    <row r="28" customFormat="false" ht="25.5" hidden="false" customHeight="true" outlineLevel="0" collapsed="false">
      <c r="A28" s="37" t="s">
        <v>466</v>
      </c>
      <c r="B28" s="37"/>
      <c r="C28" s="37" t="s">
        <v>10</v>
      </c>
      <c r="D28" s="37"/>
      <c r="E28" s="37"/>
      <c r="F28" s="37" t="s">
        <v>6</v>
      </c>
      <c r="G28" s="37"/>
      <c r="H28" s="37"/>
      <c r="I28" s="115" t="s">
        <v>14</v>
      </c>
      <c r="J28" s="115"/>
      <c r="K28" s="115"/>
      <c r="L28" s="115" t="s">
        <v>475</v>
      </c>
      <c r="M28" s="115"/>
      <c r="N28" s="115"/>
      <c r="O28" s="115" t="s">
        <v>476</v>
      </c>
      <c r="P28" s="115"/>
      <c r="Q28" s="115"/>
      <c r="R28" s="115" t="s">
        <v>47</v>
      </c>
      <c r="S28" s="115"/>
      <c r="T28" s="115"/>
      <c r="U28" s="115" t="s">
        <v>307</v>
      </c>
      <c r="V28" s="115"/>
      <c r="W28" s="115"/>
      <c r="X28" s="115" t="s">
        <v>209</v>
      </c>
      <c r="Y28" s="115"/>
      <c r="Z28" s="115"/>
      <c r="AA28" s="115" t="s">
        <v>198</v>
      </c>
      <c r="AB28" s="115"/>
      <c r="AC28" s="115"/>
      <c r="AD28" s="115" t="s">
        <v>46</v>
      </c>
      <c r="AE28" s="115"/>
      <c r="AF28" s="115"/>
      <c r="AG28" s="37" t="s">
        <v>467</v>
      </c>
      <c r="AH28" s="37"/>
      <c r="AI28" s="37"/>
      <c r="AJ28" s="37" t="s">
        <v>468</v>
      </c>
      <c r="AK28" s="37"/>
      <c r="AL28" s="37"/>
      <c r="AM28" s="37" t="s">
        <v>469</v>
      </c>
      <c r="AN28" s="37"/>
      <c r="AO28" s="37"/>
      <c r="AP28" s="37"/>
      <c r="AQ28" s="37"/>
      <c r="AS28" s="29" t="s">
        <v>466</v>
      </c>
      <c r="AT28" s="29"/>
      <c r="AU28" s="35" t="n">
        <v>4</v>
      </c>
      <c r="AV28" s="35"/>
      <c r="AW28" s="35"/>
      <c r="AX28" s="36" t="n">
        <v>2.5</v>
      </c>
      <c r="AY28" s="36"/>
      <c r="AZ28" s="36"/>
      <c r="BA28" s="36" t="n">
        <v>2</v>
      </c>
      <c r="BB28" s="36"/>
      <c r="BC28" s="36"/>
      <c r="BD28" s="36" t="n">
        <v>3</v>
      </c>
      <c r="BE28" s="36"/>
      <c r="BF28" s="36"/>
      <c r="BG28" s="36" t="n">
        <v>4</v>
      </c>
      <c r="BH28" s="36"/>
      <c r="BI28" s="36"/>
      <c r="BJ28" s="36" t="n">
        <v>5</v>
      </c>
      <c r="BK28" s="36"/>
      <c r="BL28" s="36"/>
      <c r="BM28" s="36" t="n">
        <v>2.5</v>
      </c>
      <c r="BN28" s="36"/>
      <c r="BO28" s="36"/>
      <c r="BP28" s="36" t="n">
        <v>2</v>
      </c>
      <c r="BQ28" s="36"/>
      <c r="BR28" s="36"/>
      <c r="BS28" s="36" t="n">
        <v>4</v>
      </c>
      <c r="BT28" s="36"/>
      <c r="BU28" s="36"/>
      <c r="BV28" s="35" t="n">
        <v>5</v>
      </c>
      <c r="BW28" s="35"/>
      <c r="BX28" s="35"/>
      <c r="BY28" s="35"/>
      <c r="BZ28" s="35"/>
      <c r="CA28" s="35"/>
      <c r="CB28" s="35"/>
      <c r="CC28" s="35"/>
      <c r="CD28" s="35"/>
      <c r="CE28" s="29" t="s">
        <v>469</v>
      </c>
      <c r="CF28" s="29"/>
      <c r="CG28" s="29"/>
      <c r="CH28" s="29"/>
      <c r="CI28" s="29"/>
    </row>
    <row r="29" customFormat="false" ht="25.5" hidden="false" customHeight="true" outlineLevel="0" collapsed="false">
      <c r="A29" s="37" t="s">
        <v>473</v>
      </c>
      <c r="B29" s="37"/>
      <c r="C29" s="37"/>
      <c r="D29" s="37" t="s">
        <v>11</v>
      </c>
      <c r="E29" s="37"/>
      <c r="F29" s="37"/>
      <c r="G29" s="115" t="s">
        <v>2</v>
      </c>
      <c r="H29" s="115"/>
      <c r="I29" s="115"/>
      <c r="J29" s="115" t="s">
        <v>1</v>
      </c>
      <c r="K29" s="115"/>
      <c r="L29" s="115"/>
      <c r="M29" s="116" t="s">
        <v>45</v>
      </c>
      <c r="N29" s="116"/>
      <c r="O29" s="116"/>
      <c r="P29" s="37" t="s">
        <v>462</v>
      </c>
      <c r="Q29" s="37"/>
      <c r="R29" s="37"/>
      <c r="S29" s="37" t="s">
        <v>15</v>
      </c>
      <c r="T29" s="37"/>
      <c r="U29" s="37"/>
      <c r="V29" s="116" t="s">
        <v>105</v>
      </c>
      <c r="W29" s="116"/>
      <c r="X29" s="116"/>
      <c r="Y29" s="115" t="s">
        <v>4</v>
      </c>
      <c r="Z29" s="115"/>
      <c r="AA29" s="115"/>
      <c r="AB29" s="115" t="s">
        <v>8</v>
      </c>
      <c r="AC29" s="115"/>
      <c r="AD29" s="115"/>
      <c r="AE29" s="115" t="s">
        <v>13</v>
      </c>
      <c r="AF29" s="115"/>
      <c r="AG29" s="115"/>
      <c r="AH29" s="37" t="s">
        <v>471</v>
      </c>
      <c r="AI29" s="37"/>
      <c r="AJ29" s="37"/>
      <c r="AK29" s="37" t="s">
        <v>472</v>
      </c>
      <c r="AL29" s="37"/>
      <c r="AM29" s="37"/>
      <c r="AN29" s="64"/>
      <c r="AO29" s="64"/>
      <c r="AP29" s="64"/>
      <c r="AQ29" s="64"/>
      <c r="AS29" s="36" t="s">
        <v>470</v>
      </c>
      <c r="AT29" s="36"/>
      <c r="AU29" s="36"/>
      <c r="AV29" s="36" t="n">
        <v>1.5</v>
      </c>
      <c r="AW29" s="36"/>
      <c r="AX29" s="36"/>
      <c r="AY29" s="36" t="n">
        <v>1.25</v>
      </c>
      <c r="AZ29" s="36"/>
      <c r="BA29" s="36"/>
      <c r="BB29" s="36" t="n">
        <v>1</v>
      </c>
      <c r="BC29" s="36"/>
      <c r="BD29" s="36"/>
      <c r="BE29" s="41" t="n">
        <v>1</v>
      </c>
      <c r="BF29" s="41"/>
      <c r="BG29" s="41"/>
      <c r="BH29" s="36" t="n">
        <v>3</v>
      </c>
      <c r="BI29" s="36"/>
      <c r="BJ29" s="36"/>
      <c r="BK29" s="36" t="n">
        <v>3</v>
      </c>
      <c r="BL29" s="36"/>
      <c r="BM29" s="36"/>
      <c r="BN29" s="41" t="n">
        <v>1</v>
      </c>
      <c r="BO29" s="41"/>
      <c r="BP29" s="41"/>
      <c r="BQ29" s="36" t="n">
        <v>1</v>
      </c>
      <c r="BR29" s="36"/>
      <c r="BS29" s="36"/>
      <c r="BT29" s="36" t="n">
        <v>1.25</v>
      </c>
      <c r="BU29" s="36"/>
      <c r="BV29" s="36"/>
      <c r="BW29" s="36" t="n">
        <v>1.5</v>
      </c>
      <c r="BX29" s="36"/>
      <c r="BY29" s="36"/>
      <c r="BZ29" s="35"/>
      <c r="CA29" s="35"/>
      <c r="CB29" s="35"/>
      <c r="CC29" s="35"/>
      <c r="CD29" s="35"/>
      <c r="CE29" s="35"/>
      <c r="CF29" s="39"/>
      <c r="CG29" s="39"/>
      <c r="CH29" s="39"/>
      <c r="CI29" s="39"/>
    </row>
    <row r="30" customFormat="false" ht="25.5" hidden="false" customHeight="true" outlineLevel="0" collapsed="false">
      <c r="A30" s="37" t="s">
        <v>474</v>
      </c>
      <c r="B30" s="37"/>
      <c r="C30" s="37"/>
      <c r="D30" s="37"/>
      <c r="E30" s="37" t="s">
        <v>7</v>
      </c>
      <c r="F30" s="37"/>
      <c r="G30" s="37"/>
      <c r="H30" s="37" t="s">
        <v>384</v>
      </c>
      <c r="I30" s="37"/>
      <c r="J30" s="37"/>
      <c r="K30" s="37" t="s">
        <v>353</v>
      </c>
      <c r="L30" s="37"/>
      <c r="M30" s="37"/>
      <c r="N30" s="37" t="s">
        <v>9</v>
      </c>
      <c r="O30" s="37"/>
      <c r="P30" s="37"/>
      <c r="Q30" s="37" t="s">
        <v>700</v>
      </c>
      <c r="R30" s="37"/>
      <c r="S30" s="37"/>
      <c r="T30" s="115" t="s">
        <v>284</v>
      </c>
      <c r="U30" s="115"/>
      <c r="V30" s="115"/>
      <c r="W30" s="37" t="s">
        <v>16</v>
      </c>
      <c r="X30" s="37"/>
      <c r="Y30" s="37"/>
      <c r="Z30" s="37" t="s">
        <v>12</v>
      </c>
      <c r="AA30" s="37"/>
      <c r="AB30" s="37"/>
      <c r="AC30" s="37" t="s">
        <v>5</v>
      </c>
      <c r="AD30" s="37"/>
      <c r="AE30" s="37"/>
      <c r="AF30" s="37" t="s">
        <v>243</v>
      </c>
      <c r="AG30" s="37"/>
      <c r="AH30" s="37"/>
      <c r="AI30" s="37" t="s">
        <v>3</v>
      </c>
      <c r="AJ30" s="37"/>
      <c r="AK30" s="37" t="s">
        <v>474</v>
      </c>
      <c r="AL30" s="37" t="s">
        <v>474</v>
      </c>
      <c r="AM30" s="37"/>
      <c r="AN30" s="37"/>
      <c r="AO30" s="37"/>
      <c r="AP30" s="37"/>
      <c r="AQ30" s="37"/>
      <c r="AS30" s="37" t="s">
        <v>474</v>
      </c>
      <c r="AT30" s="37"/>
      <c r="AU30" s="37"/>
      <c r="AV30" s="37"/>
      <c r="AW30" s="35" t="n">
        <v>4</v>
      </c>
      <c r="AX30" s="35"/>
      <c r="AY30" s="35"/>
      <c r="AZ30" s="35" t="n">
        <v>3.5</v>
      </c>
      <c r="BA30" s="35"/>
      <c r="BB30" s="35"/>
      <c r="BC30" s="36" t="n">
        <v>3</v>
      </c>
      <c r="BD30" s="36"/>
      <c r="BE30" s="36"/>
      <c r="BF30" s="36" t="n">
        <v>2</v>
      </c>
      <c r="BG30" s="36"/>
      <c r="BH30" s="36"/>
      <c r="BI30" s="36" t="n">
        <v>4</v>
      </c>
      <c r="BJ30" s="36"/>
      <c r="BK30" s="36"/>
      <c r="BL30" s="36" t="n">
        <v>2.5</v>
      </c>
      <c r="BM30" s="36"/>
      <c r="BN30" s="36"/>
      <c r="BO30" s="36" t="n">
        <v>3</v>
      </c>
      <c r="BP30" s="36"/>
      <c r="BQ30" s="36"/>
      <c r="BR30" s="36" t="n">
        <v>3</v>
      </c>
      <c r="BS30" s="36"/>
      <c r="BT30" s="36"/>
      <c r="BU30" s="35" t="n">
        <v>3.5</v>
      </c>
      <c r="BV30" s="35"/>
      <c r="BW30" s="35"/>
      <c r="BX30" s="35" t="n">
        <v>4</v>
      </c>
      <c r="BY30" s="35"/>
      <c r="BZ30" s="35"/>
      <c r="CA30" s="35"/>
      <c r="CB30" s="35"/>
      <c r="CC30" s="35" t="s">
        <v>474</v>
      </c>
      <c r="CD30" s="29" t="s">
        <v>474</v>
      </c>
      <c r="CE30" s="29"/>
      <c r="CF30" s="29"/>
      <c r="CG30" s="29"/>
      <c r="CH30" s="29"/>
      <c r="CI30" s="29"/>
    </row>
    <row r="31" customFormat="false" ht="12.8" hidden="false" customHeight="true" outlineLevel="0" collapsed="false">
      <c r="A31" s="37" t="s">
        <v>478</v>
      </c>
      <c r="B31" s="37" t="s">
        <v>479</v>
      </c>
      <c r="C31" s="37"/>
      <c r="D31" s="37"/>
      <c r="E31" s="37" t="s">
        <v>480</v>
      </c>
      <c r="F31" s="37"/>
      <c r="G31" s="37"/>
      <c r="H31" s="37" t="s">
        <v>481</v>
      </c>
      <c r="I31" s="37"/>
      <c r="J31" s="37"/>
      <c r="K31" s="42" t="s">
        <v>482</v>
      </c>
      <c r="L31" s="42"/>
      <c r="M31" s="42"/>
      <c r="N31" s="37" t="s">
        <v>483</v>
      </c>
      <c r="O31" s="37"/>
      <c r="P31" s="37" t="s">
        <v>484</v>
      </c>
      <c r="Q31" s="37"/>
      <c r="R31" s="37"/>
      <c r="S31" s="37"/>
      <c r="T31" s="37"/>
      <c r="U31" s="37"/>
      <c r="V31" s="37" t="s">
        <v>485</v>
      </c>
      <c r="W31" s="42" t="s">
        <v>485</v>
      </c>
      <c r="X31" s="42"/>
      <c r="Y31" s="42"/>
      <c r="Z31" s="37" t="s">
        <v>557</v>
      </c>
      <c r="AA31" s="37"/>
      <c r="AB31" s="37"/>
      <c r="AC31" s="37" t="s">
        <v>481</v>
      </c>
      <c r="AD31" s="37"/>
      <c r="AE31" s="37"/>
      <c r="AF31" s="37" t="s">
        <v>478</v>
      </c>
      <c r="AG31" s="37"/>
      <c r="AH31" s="37"/>
      <c r="AI31" s="63"/>
      <c r="AJ31" s="63"/>
      <c r="AK31" s="63"/>
      <c r="AL31" s="63" t="s">
        <v>487</v>
      </c>
      <c r="AM31" s="63"/>
      <c r="AN31" s="63"/>
      <c r="AO31" s="63"/>
      <c r="AP31" s="63"/>
      <c r="AQ31" s="63"/>
      <c r="AS31" s="37" t="s">
        <v>478</v>
      </c>
      <c r="AT31" s="37" t="s">
        <v>479</v>
      </c>
      <c r="AU31" s="37"/>
      <c r="AV31" s="37"/>
      <c r="AW31" s="37" t="s">
        <v>480</v>
      </c>
      <c r="AX31" s="37"/>
      <c r="AY31" s="37"/>
      <c r="AZ31" s="37" t="s">
        <v>481</v>
      </c>
      <c r="BA31" s="37"/>
      <c r="BB31" s="37"/>
      <c r="BC31" s="42" t="s">
        <v>482</v>
      </c>
      <c r="BD31" s="42"/>
      <c r="BE31" s="42"/>
      <c r="BF31" s="36" t="s">
        <v>483</v>
      </c>
      <c r="BG31" s="36"/>
      <c r="BH31" s="36" t="s">
        <v>484</v>
      </c>
      <c r="BI31" s="36"/>
      <c r="BJ31" s="36"/>
      <c r="BK31" s="36"/>
      <c r="BL31" s="36"/>
      <c r="BM31" s="36"/>
      <c r="BN31" s="36" t="s">
        <v>485</v>
      </c>
      <c r="BO31" s="42" t="s">
        <v>485</v>
      </c>
      <c r="BP31" s="42"/>
      <c r="BQ31" s="42"/>
      <c r="BR31" s="43" t="s">
        <v>486</v>
      </c>
      <c r="BS31" s="43"/>
      <c r="BT31" s="43"/>
      <c r="BU31" s="37" t="s">
        <v>481</v>
      </c>
      <c r="BV31" s="37"/>
      <c r="BW31" s="37"/>
      <c r="BX31" s="37" t="s">
        <v>478</v>
      </c>
      <c r="BY31" s="37"/>
      <c r="BZ31" s="37"/>
      <c r="CA31" s="44"/>
      <c r="CB31" s="44"/>
      <c r="CC31" s="44"/>
      <c r="CD31" s="34" t="s">
        <v>487</v>
      </c>
      <c r="CE31" s="34"/>
      <c r="CF31" s="34"/>
      <c r="CG31" s="44"/>
      <c r="CH31" s="44"/>
      <c r="CI31" s="44"/>
    </row>
    <row r="32" customFormat="false" ht="12.8" hidden="false" customHeight="true" outlineLevel="0" collapsed="false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42"/>
      <c r="L32" s="42"/>
      <c r="M32" s="42"/>
      <c r="N32" s="37"/>
      <c r="O32" s="37"/>
      <c r="P32" s="37"/>
      <c r="Q32" s="37"/>
      <c r="R32" s="37"/>
      <c r="S32" s="37"/>
      <c r="T32" s="37"/>
      <c r="U32" s="37"/>
      <c r="V32" s="37"/>
      <c r="W32" s="42"/>
      <c r="X32" s="42"/>
      <c r="Y32" s="42"/>
      <c r="Z32" s="37"/>
      <c r="AA32" s="37"/>
      <c r="AB32" s="37"/>
      <c r="AC32" s="37"/>
      <c r="AD32" s="37"/>
      <c r="AE32" s="37"/>
      <c r="AF32" s="37"/>
      <c r="AG32" s="37"/>
      <c r="AH32" s="37"/>
      <c r="AI32" s="63" t="s">
        <v>402</v>
      </c>
      <c r="AJ32" s="63"/>
      <c r="AK32" s="63" t="s">
        <v>488</v>
      </c>
      <c r="AL32" s="63" t="s">
        <v>488</v>
      </c>
      <c r="AM32" s="63"/>
      <c r="AN32" s="63"/>
      <c r="AO32" s="63" t="s">
        <v>400</v>
      </c>
      <c r="AP32" s="63"/>
      <c r="AQ32" s="63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42"/>
      <c r="BD32" s="42"/>
      <c r="BE32" s="42"/>
      <c r="BF32" s="36"/>
      <c r="BG32" s="36"/>
      <c r="BH32" s="36"/>
      <c r="BI32" s="36"/>
      <c r="BJ32" s="36"/>
      <c r="BK32" s="36"/>
      <c r="BL32" s="36"/>
      <c r="BM32" s="36"/>
      <c r="BN32" s="36"/>
      <c r="BO32" s="42"/>
      <c r="BP32" s="42"/>
      <c r="BQ32" s="42"/>
      <c r="BR32" s="43"/>
      <c r="BS32" s="43"/>
      <c r="BT32" s="43"/>
      <c r="BU32" s="37"/>
      <c r="BV32" s="37"/>
      <c r="BW32" s="37"/>
      <c r="BX32" s="37"/>
      <c r="BY32" s="37"/>
      <c r="BZ32" s="37"/>
      <c r="CA32" s="34" t="s">
        <v>402</v>
      </c>
      <c r="CB32" s="34"/>
      <c r="CC32" s="34" t="s">
        <v>488</v>
      </c>
      <c r="CD32" s="34" t="s">
        <v>488</v>
      </c>
      <c r="CE32" s="34"/>
      <c r="CF32" s="34"/>
      <c r="CG32" s="34" t="s">
        <v>400</v>
      </c>
      <c r="CH32" s="34"/>
      <c r="CI32" s="34"/>
    </row>
    <row r="33" customFormat="false" ht="12.8" hidden="false" customHeight="false" outlineLevel="0" collapsed="false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S33" s="45"/>
      <c r="AT33" s="45"/>
    </row>
    <row r="34" customFormat="false" ht="12.8" hidden="false" customHeight="false" outlineLevel="0" collapsed="false">
      <c r="A34" s="28" t="s">
        <v>701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7"/>
      <c r="AS34" s="54" t="s">
        <v>418</v>
      </c>
      <c r="AT34" s="27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7"/>
    </row>
    <row r="35" customFormat="false" ht="25.5" hidden="false" customHeight="true" outlineLevel="0" collapsed="false">
      <c r="A35" s="63" t="s">
        <v>461</v>
      </c>
      <c r="B35" s="63" t="n">
        <v>1</v>
      </c>
      <c r="C35" s="63"/>
      <c r="D35" s="63"/>
      <c r="E35" s="63" t="n">
        <v>2</v>
      </c>
      <c r="F35" s="63"/>
      <c r="G35" s="63"/>
      <c r="H35" s="63" t="n">
        <v>3</v>
      </c>
      <c r="I35" s="63"/>
      <c r="J35" s="63"/>
      <c r="K35" s="63" t="n">
        <v>4</v>
      </c>
      <c r="L35" s="63"/>
      <c r="M35" s="63"/>
      <c r="N35" s="63" t="n">
        <v>5</v>
      </c>
      <c r="O35" s="63"/>
      <c r="P35" s="63"/>
      <c r="Q35" s="63" t="n">
        <v>6</v>
      </c>
      <c r="R35" s="63"/>
      <c r="S35" s="63"/>
      <c r="T35" s="63" t="n">
        <v>7</v>
      </c>
      <c r="U35" s="63"/>
      <c r="V35" s="63"/>
      <c r="W35" s="63" t="n">
        <v>8</v>
      </c>
      <c r="X35" s="63"/>
      <c r="Y35" s="63"/>
      <c r="Z35" s="63" t="n">
        <v>9</v>
      </c>
      <c r="AA35" s="63"/>
      <c r="AB35" s="63"/>
      <c r="AC35" s="63" t="n">
        <v>0</v>
      </c>
      <c r="AD35" s="63"/>
      <c r="AE35" s="63"/>
      <c r="AF35" s="37" t="s">
        <v>462</v>
      </c>
      <c r="AG35" s="37"/>
      <c r="AH35" s="37"/>
      <c r="AI35" s="37" t="s">
        <v>463</v>
      </c>
      <c r="AJ35" s="37"/>
      <c r="AK35" s="37"/>
      <c r="AL35" s="37" t="s">
        <v>464</v>
      </c>
      <c r="AM35" s="37"/>
      <c r="AN35" s="37"/>
      <c r="AO35" s="37" t="s">
        <v>465</v>
      </c>
      <c r="AP35" s="37"/>
      <c r="AQ35" s="37"/>
      <c r="AS35" s="63" t="s">
        <v>461</v>
      </c>
      <c r="AT35" s="63" t="n">
        <v>1</v>
      </c>
      <c r="AU35" s="63"/>
      <c r="AV35" s="63"/>
      <c r="AW35" s="63" t="n">
        <v>2</v>
      </c>
      <c r="AX35" s="63"/>
      <c r="AY35" s="63"/>
      <c r="AZ35" s="63" t="n">
        <v>3</v>
      </c>
      <c r="BA35" s="63"/>
      <c r="BB35" s="63"/>
      <c r="BC35" s="63" t="n">
        <v>4</v>
      </c>
      <c r="BD35" s="63"/>
      <c r="BE35" s="63"/>
      <c r="BF35" s="63" t="n">
        <v>5</v>
      </c>
      <c r="BG35" s="63"/>
      <c r="BH35" s="63"/>
      <c r="BI35" s="63" t="n">
        <v>6</v>
      </c>
      <c r="BJ35" s="63"/>
      <c r="BK35" s="63"/>
      <c r="BL35" s="63" t="n">
        <v>7</v>
      </c>
      <c r="BM35" s="63"/>
      <c r="BN35" s="63"/>
      <c r="BO35" s="63" t="n">
        <v>8</v>
      </c>
      <c r="BP35" s="63"/>
      <c r="BQ35" s="63"/>
      <c r="BR35" s="63" t="n">
        <v>9</v>
      </c>
      <c r="BS35" s="63"/>
      <c r="BT35" s="63"/>
      <c r="BU35" s="63" t="n">
        <v>0</v>
      </c>
      <c r="BV35" s="63"/>
      <c r="BW35" s="63"/>
      <c r="BX35" s="37" t="s">
        <v>462</v>
      </c>
      <c r="BY35" s="37"/>
      <c r="BZ35" s="37"/>
      <c r="CA35" s="37" t="s">
        <v>463</v>
      </c>
      <c r="CB35" s="37"/>
      <c r="CC35" s="37"/>
      <c r="CD35" s="37" t="s">
        <v>464</v>
      </c>
      <c r="CE35" s="37"/>
      <c r="CF35" s="37"/>
      <c r="CG35" s="37" t="s">
        <v>465</v>
      </c>
      <c r="CH35" s="37"/>
      <c r="CI35" s="37"/>
    </row>
    <row r="36" customFormat="false" ht="25.5" hidden="false" customHeight="true" outlineLevel="0" collapsed="false">
      <c r="A36" s="37" t="s">
        <v>466</v>
      </c>
      <c r="B36" s="37"/>
      <c r="C36" s="37" t="s">
        <v>10</v>
      </c>
      <c r="D36" s="37"/>
      <c r="E36" s="37"/>
      <c r="F36" s="37" t="s">
        <v>6</v>
      </c>
      <c r="G36" s="37"/>
      <c r="H36" s="37"/>
      <c r="I36" s="115" t="s">
        <v>209</v>
      </c>
      <c r="J36" s="115"/>
      <c r="K36" s="115"/>
      <c r="L36" s="115" t="s">
        <v>284</v>
      </c>
      <c r="M36" s="115"/>
      <c r="N36" s="115"/>
      <c r="O36" s="115" t="s">
        <v>5</v>
      </c>
      <c r="P36" s="115"/>
      <c r="Q36" s="115"/>
      <c r="R36" s="115" t="s">
        <v>3</v>
      </c>
      <c r="S36" s="115"/>
      <c r="T36" s="115"/>
      <c r="U36" s="115" t="s">
        <v>47</v>
      </c>
      <c r="V36" s="115"/>
      <c r="W36" s="115"/>
      <c r="X36" s="115" t="s">
        <v>14</v>
      </c>
      <c r="Y36" s="115"/>
      <c r="Z36" s="115"/>
      <c r="AA36" s="115" t="s">
        <v>198</v>
      </c>
      <c r="AB36" s="115"/>
      <c r="AC36" s="115"/>
      <c r="AD36" s="115" t="s">
        <v>12</v>
      </c>
      <c r="AE36" s="115"/>
      <c r="AF36" s="115"/>
      <c r="AG36" s="37" t="s">
        <v>467</v>
      </c>
      <c r="AH36" s="37"/>
      <c r="AI36" s="37"/>
      <c r="AJ36" s="37" t="s">
        <v>468</v>
      </c>
      <c r="AK36" s="37"/>
      <c r="AL36" s="37"/>
      <c r="AM36" s="37" t="s">
        <v>469</v>
      </c>
      <c r="AN36" s="37"/>
      <c r="AO36" s="37"/>
      <c r="AP36" s="37"/>
      <c r="AQ36" s="37"/>
      <c r="AS36" s="37" t="s">
        <v>466</v>
      </c>
      <c r="AT36" s="37"/>
      <c r="AU36" s="37" t="s">
        <v>10</v>
      </c>
      <c r="AV36" s="37"/>
      <c r="AW36" s="37"/>
      <c r="AX36" s="37" t="s">
        <v>6</v>
      </c>
      <c r="AY36" s="37"/>
      <c r="AZ36" s="37"/>
      <c r="BA36" s="115" t="s">
        <v>5</v>
      </c>
      <c r="BB36" s="115"/>
      <c r="BC36" s="115"/>
      <c r="BD36" s="115" t="s">
        <v>284</v>
      </c>
      <c r="BE36" s="115"/>
      <c r="BF36" s="115"/>
      <c r="BG36" s="115" t="s">
        <v>46</v>
      </c>
      <c r="BH36" s="115"/>
      <c r="BI36" s="115"/>
      <c r="BJ36" s="37" t="s">
        <v>12</v>
      </c>
      <c r="BK36" s="37"/>
      <c r="BL36" s="37"/>
      <c r="BM36" s="115" t="s">
        <v>47</v>
      </c>
      <c r="BN36" s="115"/>
      <c r="BO36" s="115"/>
      <c r="BP36" s="115" t="s">
        <v>14</v>
      </c>
      <c r="BQ36" s="115"/>
      <c r="BR36" s="115"/>
      <c r="BS36" s="115" t="s">
        <v>198</v>
      </c>
      <c r="BT36" s="115"/>
      <c r="BU36" s="115"/>
      <c r="BV36" s="115" t="s">
        <v>3</v>
      </c>
      <c r="BW36" s="115"/>
      <c r="BX36" s="115"/>
      <c r="BY36" s="37" t="s">
        <v>467</v>
      </c>
      <c r="BZ36" s="37"/>
      <c r="CA36" s="37"/>
      <c r="CB36" s="37" t="s">
        <v>468</v>
      </c>
      <c r="CC36" s="37"/>
      <c r="CD36" s="37"/>
      <c r="CE36" s="37" t="s">
        <v>469</v>
      </c>
      <c r="CF36" s="37"/>
      <c r="CG36" s="37"/>
      <c r="CH36" s="37"/>
      <c r="CI36" s="37"/>
    </row>
    <row r="37" customFormat="false" ht="25.5" hidden="false" customHeight="true" outlineLevel="0" collapsed="false">
      <c r="A37" s="37" t="s">
        <v>473</v>
      </c>
      <c r="B37" s="37"/>
      <c r="C37" s="37"/>
      <c r="D37" s="37" t="s">
        <v>1</v>
      </c>
      <c r="E37" s="37"/>
      <c r="F37" s="37"/>
      <c r="G37" s="37" t="s">
        <v>8</v>
      </c>
      <c r="H37" s="37"/>
      <c r="I37" s="37"/>
      <c r="J37" s="115" t="s">
        <v>4</v>
      </c>
      <c r="K37" s="115"/>
      <c r="L37" s="115"/>
      <c r="M37" s="116" t="s">
        <v>105</v>
      </c>
      <c r="N37" s="116"/>
      <c r="O37" s="116"/>
      <c r="P37" s="37" t="s">
        <v>243</v>
      </c>
      <c r="Q37" s="37"/>
      <c r="R37" s="37"/>
      <c r="S37" s="37" t="s">
        <v>16</v>
      </c>
      <c r="T37" s="37"/>
      <c r="U37" s="37"/>
      <c r="V37" s="116" t="s">
        <v>13</v>
      </c>
      <c r="W37" s="116"/>
      <c r="X37" s="116"/>
      <c r="Y37" s="115" t="s">
        <v>11</v>
      </c>
      <c r="Z37" s="115"/>
      <c r="AA37" s="115"/>
      <c r="AB37" s="115" t="s">
        <v>2</v>
      </c>
      <c r="AC37" s="115"/>
      <c r="AD37" s="115"/>
      <c r="AE37" s="115" t="s">
        <v>45</v>
      </c>
      <c r="AF37" s="115"/>
      <c r="AG37" s="115"/>
      <c r="AH37" s="37" t="s">
        <v>471</v>
      </c>
      <c r="AI37" s="37"/>
      <c r="AJ37" s="37"/>
      <c r="AK37" s="37" t="s">
        <v>472</v>
      </c>
      <c r="AL37" s="37"/>
      <c r="AM37" s="37"/>
      <c r="AN37" s="64"/>
      <c r="AO37" s="64"/>
      <c r="AP37" s="64"/>
      <c r="AQ37" s="64"/>
      <c r="AS37" s="37" t="s">
        <v>473</v>
      </c>
      <c r="AT37" s="37"/>
      <c r="AU37" s="37"/>
      <c r="AV37" s="37" t="s">
        <v>1</v>
      </c>
      <c r="AW37" s="37"/>
      <c r="AX37" s="37"/>
      <c r="AY37" s="37" t="s">
        <v>8</v>
      </c>
      <c r="AZ37" s="37"/>
      <c r="BA37" s="37"/>
      <c r="BB37" s="115" t="s">
        <v>209</v>
      </c>
      <c r="BC37" s="115"/>
      <c r="BD37" s="115"/>
      <c r="BE37" s="116" t="s">
        <v>105</v>
      </c>
      <c r="BF37" s="116"/>
      <c r="BG37" s="116"/>
      <c r="BH37" s="37" t="s">
        <v>243</v>
      </c>
      <c r="BI37" s="37"/>
      <c r="BJ37" s="37"/>
      <c r="BK37" s="37" t="s">
        <v>16</v>
      </c>
      <c r="BL37" s="37"/>
      <c r="BM37" s="37"/>
      <c r="BN37" s="116" t="s">
        <v>13</v>
      </c>
      <c r="BO37" s="116"/>
      <c r="BP37" s="116"/>
      <c r="BQ37" s="115" t="s">
        <v>11</v>
      </c>
      <c r="BR37" s="115"/>
      <c r="BS37" s="115"/>
      <c r="BT37" s="115" t="s">
        <v>2</v>
      </c>
      <c r="BU37" s="115"/>
      <c r="BV37" s="115"/>
      <c r="BW37" s="115" t="s">
        <v>45</v>
      </c>
      <c r="BX37" s="115"/>
      <c r="BY37" s="115"/>
      <c r="BZ37" s="37" t="s">
        <v>471</v>
      </c>
      <c r="CA37" s="37"/>
      <c r="CB37" s="37"/>
      <c r="CC37" s="37" t="s">
        <v>472</v>
      </c>
      <c r="CD37" s="37"/>
      <c r="CE37" s="37"/>
      <c r="CF37" s="64"/>
      <c r="CG37" s="64"/>
      <c r="CH37" s="64"/>
      <c r="CI37" s="64"/>
    </row>
    <row r="38" customFormat="false" ht="25.5" hidden="false" customHeight="true" outlineLevel="0" collapsed="false">
      <c r="A38" s="37" t="s">
        <v>474</v>
      </c>
      <c r="B38" s="37"/>
      <c r="C38" s="37"/>
      <c r="D38" s="37"/>
      <c r="E38" s="37" t="s">
        <v>7</v>
      </c>
      <c r="F38" s="37"/>
      <c r="G38" s="37"/>
      <c r="H38" s="37" t="s">
        <v>384</v>
      </c>
      <c r="I38" s="37"/>
      <c r="J38" s="37"/>
      <c r="K38" s="37" t="s">
        <v>353</v>
      </c>
      <c r="L38" s="37"/>
      <c r="M38" s="37"/>
      <c r="N38" s="37" t="s">
        <v>9</v>
      </c>
      <c r="O38" s="37"/>
      <c r="P38" s="37"/>
      <c r="Q38" s="37" t="s">
        <v>307</v>
      </c>
      <c r="R38" s="37"/>
      <c r="S38" s="37"/>
      <c r="T38" s="115" t="s">
        <v>46</v>
      </c>
      <c r="U38" s="115"/>
      <c r="V38" s="115"/>
      <c r="W38" s="37" t="s">
        <v>15</v>
      </c>
      <c r="X38" s="37"/>
      <c r="Y38" s="37"/>
      <c r="Z38" s="37" t="s">
        <v>475</v>
      </c>
      <c r="AA38" s="37"/>
      <c r="AB38" s="37"/>
      <c r="AC38" s="37" t="s">
        <v>476</v>
      </c>
      <c r="AD38" s="37"/>
      <c r="AE38" s="37"/>
      <c r="AF38" s="37" t="s">
        <v>477</v>
      </c>
      <c r="AG38" s="37"/>
      <c r="AH38" s="37"/>
      <c r="AI38" s="37" t="s">
        <v>3</v>
      </c>
      <c r="AJ38" s="37"/>
      <c r="AK38" s="37" t="s">
        <v>474</v>
      </c>
      <c r="AL38" s="37" t="s">
        <v>474</v>
      </c>
      <c r="AM38" s="37"/>
      <c r="AN38" s="37"/>
      <c r="AO38" s="37"/>
      <c r="AP38" s="37"/>
      <c r="AQ38" s="37"/>
      <c r="AS38" s="37" t="s">
        <v>474</v>
      </c>
      <c r="AT38" s="37"/>
      <c r="AU38" s="37"/>
      <c r="AV38" s="37"/>
      <c r="AW38" s="37" t="s">
        <v>7</v>
      </c>
      <c r="AX38" s="37"/>
      <c r="AY38" s="37"/>
      <c r="AZ38" s="37" t="s">
        <v>384</v>
      </c>
      <c r="BA38" s="37"/>
      <c r="BB38" s="37"/>
      <c r="BC38" s="37" t="s">
        <v>353</v>
      </c>
      <c r="BD38" s="37"/>
      <c r="BE38" s="37"/>
      <c r="BF38" s="37" t="s">
        <v>9</v>
      </c>
      <c r="BG38" s="37"/>
      <c r="BH38" s="37"/>
      <c r="BI38" s="37" t="s">
        <v>307</v>
      </c>
      <c r="BJ38" s="37"/>
      <c r="BK38" s="37"/>
      <c r="BL38" s="115" t="s">
        <v>4</v>
      </c>
      <c r="BM38" s="115"/>
      <c r="BN38" s="115"/>
      <c r="BO38" s="37" t="s">
        <v>15</v>
      </c>
      <c r="BP38" s="37"/>
      <c r="BQ38" s="37"/>
      <c r="BR38" s="37" t="s">
        <v>475</v>
      </c>
      <c r="BS38" s="37"/>
      <c r="BT38" s="37"/>
      <c r="BU38" s="37" t="s">
        <v>476</v>
      </c>
      <c r="BV38" s="37"/>
      <c r="BW38" s="37"/>
      <c r="BX38" s="37" t="s">
        <v>477</v>
      </c>
      <c r="BY38" s="37"/>
      <c r="BZ38" s="37"/>
      <c r="CA38" s="37" t="s">
        <v>537</v>
      </c>
      <c r="CB38" s="37"/>
      <c r="CC38" s="37" t="s">
        <v>474</v>
      </c>
      <c r="CD38" s="37" t="s">
        <v>474</v>
      </c>
      <c r="CE38" s="37"/>
      <c r="CF38" s="37"/>
      <c r="CG38" s="37"/>
      <c r="CH38" s="37"/>
      <c r="CI38" s="37"/>
    </row>
    <row r="39" customFormat="false" ht="12.8" hidden="false" customHeight="true" outlineLevel="0" collapsed="false">
      <c r="A39" s="37" t="s">
        <v>478</v>
      </c>
      <c r="B39" s="37" t="s">
        <v>479</v>
      </c>
      <c r="C39" s="37"/>
      <c r="D39" s="37"/>
      <c r="E39" s="37" t="s">
        <v>480</v>
      </c>
      <c r="F39" s="37"/>
      <c r="G39" s="37"/>
      <c r="H39" s="37" t="s">
        <v>481</v>
      </c>
      <c r="I39" s="37"/>
      <c r="J39" s="37"/>
      <c r="K39" s="42" t="s">
        <v>482</v>
      </c>
      <c r="L39" s="42"/>
      <c r="M39" s="42"/>
      <c r="N39" s="37" t="s">
        <v>483</v>
      </c>
      <c r="O39" s="37"/>
      <c r="P39" s="37" t="s">
        <v>484</v>
      </c>
      <c r="Q39" s="37"/>
      <c r="R39" s="37"/>
      <c r="S39" s="37"/>
      <c r="T39" s="37"/>
      <c r="U39" s="37"/>
      <c r="V39" s="37" t="s">
        <v>485</v>
      </c>
      <c r="W39" s="42" t="s">
        <v>485</v>
      </c>
      <c r="X39" s="42"/>
      <c r="Y39" s="42"/>
      <c r="Z39" s="37" t="s">
        <v>557</v>
      </c>
      <c r="AA39" s="37"/>
      <c r="AB39" s="37"/>
      <c r="AC39" s="37" t="s">
        <v>481</v>
      </c>
      <c r="AD39" s="37"/>
      <c r="AE39" s="37"/>
      <c r="AF39" s="37" t="s">
        <v>478</v>
      </c>
      <c r="AG39" s="37"/>
      <c r="AH39" s="37"/>
      <c r="AI39" s="63"/>
      <c r="AJ39" s="63"/>
      <c r="AK39" s="63"/>
      <c r="AL39" s="63" t="s">
        <v>487</v>
      </c>
      <c r="AM39" s="63"/>
      <c r="AN39" s="63"/>
      <c r="AO39" s="63"/>
      <c r="AP39" s="63"/>
      <c r="AQ39" s="63"/>
      <c r="AS39" s="37" t="s">
        <v>478</v>
      </c>
      <c r="AT39" s="37" t="s">
        <v>479</v>
      </c>
      <c r="AU39" s="37"/>
      <c r="AV39" s="37"/>
      <c r="AW39" s="37" t="s">
        <v>480</v>
      </c>
      <c r="AX39" s="37"/>
      <c r="AY39" s="37"/>
      <c r="AZ39" s="37" t="s">
        <v>481</v>
      </c>
      <c r="BA39" s="37"/>
      <c r="BB39" s="37"/>
      <c r="BC39" s="42" t="s">
        <v>482</v>
      </c>
      <c r="BD39" s="42"/>
      <c r="BE39" s="42"/>
      <c r="BF39" s="37" t="s">
        <v>483</v>
      </c>
      <c r="BG39" s="37"/>
      <c r="BH39" s="37" t="s">
        <v>484</v>
      </c>
      <c r="BI39" s="37"/>
      <c r="BJ39" s="37"/>
      <c r="BK39" s="37"/>
      <c r="BL39" s="37"/>
      <c r="BM39" s="37"/>
      <c r="BN39" s="37" t="s">
        <v>485</v>
      </c>
      <c r="BO39" s="42" t="s">
        <v>485</v>
      </c>
      <c r="BP39" s="42"/>
      <c r="BQ39" s="42"/>
      <c r="BR39" s="37" t="s">
        <v>557</v>
      </c>
      <c r="BS39" s="37"/>
      <c r="BT39" s="37"/>
      <c r="BU39" s="37" t="s">
        <v>481</v>
      </c>
      <c r="BV39" s="37"/>
      <c r="BW39" s="37"/>
      <c r="BX39" s="37" t="s">
        <v>478</v>
      </c>
      <c r="BY39" s="37"/>
      <c r="BZ39" s="37"/>
      <c r="CA39" s="63"/>
      <c r="CB39" s="63"/>
      <c r="CC39" s="63"/>
      <c r="CD39" s="63" t="s">
        <v>487</v>
      </c>
      <c r="CE39" s="63"/>
      <c r="CF39" s="63"/>
      <c r="CG39" s="63"/>
      <c r="CH39" s="63"/>
      <c r="CI39" s="63"/>
    </row>
    <row r="40" customFormat="false" ht="12.8" hidden="false" customHeight="true" outlineLevel="0" collapsed="false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42"/>
      <c r="L40" s="42"/>
      <c r="M40" s="42"/>
      <c r="N40" s="37"/>
      <c r="O40" s="37"/>
      <c r="P40" s="37"/>
      <c r="Q40" s="37"/>
      <c r="R40" s="37"/>
      <c r="S40" s="37"/>
      <c r="T40" s="37"/>
      <c r="U40" s="37"/>
      <c r="V40" s="37"/>
      <c r="W40" s="42"/>
      <c r="X40" s="42"/>
      <c r="Y40" s="42"/>
      <c r="Z40" s="37"/>
      <c r="AA40" s="37"/>
      <c r="AB40" s="37"/>
      <c r="AC40" s="37"/>
      <c r="AD40" s="37"/>
      <c r="AE40" s="37"/>
      <c r="AF40" s="37"/>
      <c r="AG40" s="37"/>
      <c r="AH40" s="37"/>
      <c r="AI40" s="63" t="s">
        <v>402</v>
      </c>
      <c r="AJ40" s="63"/>
      <c r="AK40" s="63" t="s">
        <v>488</v>
      </c>
      <c r="AL40" s="63" t="s">
        <v>488</v>
      </c>
      <c r="AM40" s="63"/>
      <c r="AN40" s="63"/>
      <c r="AO40" s="63" t="s">
        <v>400</v>
      </c>
      <c r="AP40" s="63"/>
      <c r="AQ40" s="63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42"/>
      <c r="BD40" s="42"/>
      <c r="BE40" s="42"/>
      <c r="BF40" s="37"/>
      <c r="BG40" s="37"/>
      <c r="BH40" s="37"/>
      <c r="BI40" s="37"/>
      <c r="BJ40" s="37"/>
      <c r="BK40" s="37"/>
      <c r="BL40" s="37"/>
      <c r="BM40" s="37"/>
      <c r="BN40" s="37"/>
      <c r="BO40" s="42"/>
      <c r="BP40" s="42"/>
      <c r="BQ40" s="42"/>
      <c r="BR40" s="37"/>
      <c r="BS40" s="37"/>
      <c r="BT40" s="37"/>
      <c r="BU40" s="37"/>
      <c r="BV40" s="37"/>
      <c r="BW40" s="37"/>
      <c r="BX40" s="37"/>
      <c r="BY40" s="37"/>
      <c r="BZ40" s="37"/>
      <c r="CA40" s="63" t="s">
        <v>402</v>
      </c>
      <c r="CB40" s="63"/>
      <c r="CC40" s="63" t="s">
        <v>488</v>
      </c>
      <c r="CD40" s="63" t="s">
        <v>488</v>
      </c>
      <c r="CE40" s="63"/>
      <c r="CF40" s="63"/>
      <c r="CG40" s="63" t="s">
        <v>400</v>
      </c>
      <c r="CH40" s="63"/>
      <c r="CI40" s="63"/>
    </row>
    <row r="41" customFormat="false" ht="12.8" hidden="false" customHeight="false" outlineLevel="0" collapsed="false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</row>
    <row r="42" customFormat="false" ht="12.8" hidden="false" customHeight="false" outlineLevel="0" collapsed="false">
      <c r="A42" s="17" t="s">
        <v>702</v>
      </c>
      <c r="B42" s="17"/>
      <c r="C42" s="17"/>
      <c r="D42" s="66"/>
      <c r="E42" s="66"/>
      <c r="F42" s="6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7"/>
      <c r="AS42" s="66"/>
      <c r="AT42" s="6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7"/>
    </row>
    <row r="43" customFormat="false" ht="25.5" hidden="false" customHeight="true" outlineLevel="0" collapsed="false">
      <c r="A43" s="63" t="s">
        <v>461</v>
      </c>
      <c r="B43" s="63" t="n">
        <v>1</v>
      </c>
      <c r="C43" s="63"/>
      <c r="D43" s="63"/>
      <c r="E43" s="63" t="n">
        <v>2</v>
      </c>
      <c r="F43" s="63"/>
      <c r="G43" s="63"/>
      <c r="H43" s="63" t="n">
        <v>3</v>
      </c>
      <c r="I43" s="63"/>
      <c r="J43" s="63"/>
      <c r="K43" s="63" t="n">
        <v>4</v>
      </c>
      <c r="L43" s="63"/>
      <c r="M43" s="63"/>
      <c r="N43" s="63" t="n">
        <v>5</v>
      </c>
      <c r="O43" s="63"/>
      <c r="P43" s="63"/>
      <c r="Q43" s="63" t="n">
        <v>6</v>
      </c>
      <c r="R43" s="63"/>
      <c r="S43" s="63"/>
      <c r="T43" s="63" t="n">
        <v>7</v>
      </c>
      <c r="U43" s="63"/>
      <c r="V43" s="63"/>
      <c r="W43" s="63" t="n">
        <v>8</v>
      </c>
      <c r="X43" s="63"/>
      <c r="Y43" s="63"/>
      <c r="Z43" s="63" t="n">
        <v>9</v>
      </c>
      <c r="AA43" s="63"/>
      <c r="AB43" s="63"/>
      <c r="AC43" s="63" t="n">
        <v>0</v>
      </c>
      <c r="AD43" s="63"/>
      <c r="AE43" s="63"/>
      <c r="AF43" s="37" t="s">
        <v>462</v>
      </c>
      <c r="AG43" s="37"/>
      <c r="AH43" s="37"/>
      <c r="AI43" s="37" t="s">
        <v>463</v>
      </c>
      <c r="AJ43" s="37"/>
      <c r="AK43" s="37"/>
      <c r="AL43" s="37" t="s">
        <v>464</v>
      </c>
      <c r="AM43" s="37"/>
      <c r="AN43" s="37"/>
      <c r="AO43" s="37" t="s">
        <v>465</v>
      </c>
      <c r="AP43" s="37"/>
      <c r="AQ43" s="37"/>
      <c r="AS43" s="56"/>
      <c r="AT43" s="46" t="s">
        <v>491</v>
      </c>
      <c r="AU43" s="46"/>
      <c r="AV43" s="46"/>
      <c r="AW43" s="47" t="s">
        <v>492</v>
      </c>
      <c r="AX43" s="47"/>
      <c r="AY43" s="47"/>
      <c r="AZ43" s="46" t="s">
        <v>493</v>
      </c>
      <c r="BA43" s="46"/>
      <c r="BB43" s="46"/>
      <c r="BC43" s="46" t="s">
        <v>494</v>
      </c>
      <c r="BD43" s="46"/>
      <c r="BE43" s="46"/>
      <c r="BF43" s="46" t="s">
        <v>495</v>
      </c>
      <c r="BG43" s="46"/>
      <c r="BH43" s="46"/>
      <c r="BI43" s="46" t="s">
        <v>496</v>
      </c>
      <c r="BJ43" s="46"/>
      <c r="BK43" s="46"/>
      <c r="BL43" s="46" t="s">
        <v>497</v>
      </c>
      <c r="BM43" s="46"/>
      <c r="BN43" s="46"/>
      <c r="BO43" s="46" t="s">
        <v>498</v>
      </c>
      <c r="BP43" s="46"/>
      <c r="BQ43" s="46"/>
      <c r="BR43" s="46" t="s">
        <v>499</v>
      </c>
      <c r="BS43" s="46"/>
      <c r="BT43" s="46"/>
      <c r="BU43" s="58"/>
      <c r="BV43" s="58"/>
      <c r="BW43" s="58"/>
      <c r="BX43" s="58" t="s">
        <v>519</v>
      </c>
      <c r="BY43" s="58"/>
      <c r="BZ43" s="58"/>
      <c r="CA43" s="58" t="s">
        <v>536</v>
      </c>
      <c r="CB43" s="58"/>
      <c r="CC43" s="58"/>
      <c r="CD43" s="48"/>
      <c r="CE43" s="48"/>
      <c r="CF43" s="48"/>
      <c r="CG43" s="58" t="s">
        <v>502</v>
      </c>
      <c r="CH43" s="58"/>
      <c r="CI43" s="58"/>
      <c r="CK43" s="56"/>
      <c r="CL43" s="58" t="s">
        <v>440</v>
      </c>
      <c r="CM43" s="58"/>
      <c r="CN43" s="58"/>
      <c r="CO43" s="58" t="s">
        <v>441</v>
      </c>
      <c r="CP43" s="58"/>
      <c r="CQ43" s="58"/>
      <c r="CR43" s="58" t="s">
        <v>442</v>
      </c>
      <c r="CS43" s="58"/>
      <c r="CT43" s="58"/>
      <c r="CU43" s="58" t="s">
        <v>443</v>
      </c>
      <c r="CV43" s="58"/>
      <c r="CW43" s="58"/>
      <c r="CX43" s="58" t="s">
        <v>444</v>
      </c>
      <c r="CY43" s="58"/>
      <c r="CZ43" s="58"/>
      <c r="DA43" s="58" t="s">
        <v>445</v>
      </c>
      <c r="DB43" s="58"/>
      <c r="DC43" s="58"/>
      <c r="DD43" s="58" t="s">
        <v>446</v>
      </c>
      <c r="DE43" s="58"/>
      <c r="DF43" s="58"/>
      <c r="DG43" s="58" t="s">
        <v>447</v>
      </c>
      <c r="DH43" s="58"/>
      <c r="DI43" s="58"/>
      <c r="DJ43" s="58" t="s">
        <v>448</v>
      </c>
      <c r="DK43" s="58"/>
      <c r="DL43" s="58"/>
      <c r="DM43" s="58" t="s">
        <v>449</v>
      </c>
      <c r="DN43" s="58"/>
      <c r="DO43" s="58"/>
      <c r="DP43" s="58" t="s">
        <v>450</v>
      </c>
      <c r="DQ43" s="58"/>
      <c r="DR43" s="58"/>
      <c r="DS43" s="58" t="s">
        <v>451</v>
      </c>
      <c r="DT43" s="58"/>
      <c r="DU43" s="58"/>
      <c r="DV43" s="48" t="s">
        <v>561</v>
      </c>
      <c r="DW43" s="48"/>
      <c r="DX43" s="48"/>
      <c r="DY43" s="58"/>
      <c r="DZ43" s="58"/>
      <c r="EA43" s="58"/>
    </row>
    <row r="44" customFormat="false" ht="25.5" hidden="false" customHeight="true" outlineLevel="0" collapsed="false">
      <c r="A44" s="37" t="s">
        <v>466</v>
      </c>
      <c r="B44" s="37"/>
      <c r="C44" s="37" t="s">
        <v>10</v>
      </c>
      <c r="D44" s="37"/>
      <c r="E44" s="37"/>
      <c r="F44" s="37" t="s">
        <v>6</v>
      </c>
      <c r="G44" s="37"/>
      <c r="H44" s="37"/>
      <c r="I44" s="37" t="s">
        <v>5</v>
      </c>
      <c r="J44" s="37"/>
      <c r="K44" s="37"/>
      <c r="L44" s="37" t="s">
        <v>284</v>
      </c>
      <c r="M44" s="37"/>
      <c r="N44" s="37"/>
      <c r="O44" s="37" t="s">
        <v>4</v>
      </c>
      <c r="P44" s="37"/>
      <c r="Q44" s="37"/>
      <c r="R44" s="37" t="s">
        <v>198</v>
      </c>
      <c r="S44" s="37"/>
      <c r="T44" s="37"/>
      <c r="U44" s="37" t="s">
        <v>47</v>
      </c>
      <c r="V44" s="37"/>
      <c r="W44" s="37"/>
      <c r="X44" s="37" t="s">
        <v>14</v>
      </c>
      <c r="Y44" s="37"/>
      <c r="Z44" s="37"/>
      <c r="AA44" s="37" t="s">
        <v>46</v>
      </c>
      <c r="AB44" s="37"/>
      <c r="AC44" s="37"/>
      <c r="AD44" s="37" t="s">
        <v>3</v>
      </c>
      <c r="AE44" s="37"/>
      <c r="AF44" s="37"/>
      <c r="AG44" s="37" t="s">
        <v>467</v>
      </c>
      <c r="AH44" s="37"/>
      <c r="AI44" s="37"/>
      <c r="AJ44" s="37" t="s">
        <v>468</v>
      </c>
      <c r="AK44" s="37"/>
      <c r="AL44" s="37"/>
      <c r="AM44" s="37" t="s">
        <v>469</v>
      </c>
      <c r="AN44" s="37"/>
      <c r="AO44" s="37"/>
      <c r="AP44" s="37"/>
      <c r="AQ44" s="37"/>
      <c r="AS44" s="56"/>
      <c r="AT44" s="56"/>
      <c r="AU44" s="68" t="s">
        <v>509</v>
      </c>
      <c r="AV44" s="68"/>
      <c r="AW44" s="68"/>
      <c r="AX44" s="48" t="s">
        <v>78</v>
      </c>
      <c r="AY44" s="48"/>
      <c r="AZ44" s="48"/>
      <c r="BA44" s="58" t="s">
        <v>53</v>
      </c>
      <c r="BB44" s="58"/>
      <c r="BC44" s="58"/>
      <c r="BD44" s="40" t="s">
        <v>513</v>
      </c>
      <c r="BE44" s="40"/>
      <c r="BF44" s="40"/>
      <c r="BG44" s="52" t="s">
        <v>510</v>
      </c>
      <c r="BH44" s="52"/>
      <c r="BI44" s="52"/>
      <c r="BJ44" s="52" t="s">
        <v>518</v>
      </c>
      <c r="BK44" s="52"/>
      <c r="BL44" s="52"/>
      <c r="BM44" s="40" t="s">
        <v>501</v>
      </c>
      <c r="BN44" s="40"/>
      <c r="BO44" s="40"/>
      <c r="BP44" s="40" t="s">
        <v>517</v>
      </c>
      <c r="BQ44" s="40"/>
      <c r="BR44" s="40"/>
      <c r="BS44" s="40" t="s">
        <v>545</v>
      </c>
      <c r="BT44" s="40"/>
      <c r="BU44" s="40"/>
      <c r="BV44" s="58" t="s">
        <v>514</v>
      </c>
      <c r="BW44" s="58"/>
      <c r="BX44" s="58"/>
      <c r="BY44" s="48" t="s">
        <v>548</v>
      </c>
      <c r="BZ44" s="48"/>
      <c r="CA44" s="48"/>
      <c r="CB44" s="48" t="s">
        <v>549</v>
      </c>
      <c r="CC44" s="48"/>
      <c r="CD44" s="48"/>
      <c r="CE44" s="58"/>
      <c r="CF44" s="58"/>
      <c r="CG44" s="58"/>
      <c r="CH44" s="58"/>
      <c r="CI44" s="58"/>
      <c r="CK44" s="56"/>
      <c r="CL44" s="56"/>
      <c r="CM44" s="68" t="s">
        <v>579</v>
      </c>
      <c r="CN44" s="68"/>
      <c r="CO44" s="68"/>
      <c r="CP44" s="48" t="s">
        <v>521</v>
      </c>
      <c r="CQ44" s="48"/>
      <c r="CR44" s="48"/>
      <c r="CS44" s="58" t="s">
        <v>503</v>
      </c>
      <c r="CT44" s="58"/>
      <c r="CU44" s="58"/>
      <c r="CV44" s="40" t="s">
        <v>563</v>
      </c>
      <c r="CW44" s="40"/>
      <c r="CX44" s="40"/>
      <c r="CY44" s="52" t="s">
        <v>619</v>
      </c>
      <c r="CZ44" s="52"/>
      <c r="DA44" s="52"/>
      <c r="DB44" s="52" t="s">
        <v>621</v>
      </c>
      <c r="DC44" s="52"/>
      <c r="DD44" s="52"/>
      <c r="DE44" s="40"/>
      <c r="DF44" s="40"/>
      <c r="DG44" s="40"/>
      <c r="DH44" s="40" t="s">
        <v>456</v>
      </c>
      <c r="DI44" s="40"/>
      <c r="DJ44" s="40"/>
      <c r="DK44" s="40" t="s">
        <v>465</v>
      </c>
      <c r="DL44" s="40"/>
      <c r="DM44" s="40"/>
      <c r="DN44" s="56" t="s">
        <v>487</v>
      </c>
      <c r="DO44" s="56"/>
      <c r="DP44" s="56"/>
      <c r="DQ44" s="48" t="s">
        <v>457</v>
      </c>
      <c r="DR44" s="48"/>
      <c r="DS44" s="48"/>
      <c r="DT44" s="48" t="s">
        <v>458</v>
      </c>
      <c r="DU44" s="48"/>
      <c r="DV44" s="48"/>
      <c r="DW44" s="58"/>
      <c r="DX44" s="58"/>
      <c r="DY44" s="58"/>
      <c r="DZ44" s="58"/>
      <c r="EA44" s="58"/>
    </row>
    <row r="45" customFormat="false" ht="25.5" hidden="false" customHeight="true" outlineLevel="0" collapsed="false">
      <c r="A45" s="37" t="s">
        <v>473</v>
      </c>
      <c r="B45" s="37"/>
      <c r="C45" s="37"/>
      <c r="D45" s="37" t="s">
        <v>1</v>
      </c>
      <c r="E45" s="37"/>
      <c r="F45" s="37"/>
      <c r="G45" s="37" t="s">
        <v>8</v>
      </c>
      <c r="H45" s="37"/>
      <c r="I45" s="37"/>
      <c r="J45" s="37" t="s">
        <v>209</v>
      </c>
      <c r="K45" s="37"/>
      <c r="L45" s="37"/>
      <c r="M45" s="38" t="s">
        <v>105</v>
      </c>
      <c r="N45" s="38"/>
      <c r="O45" s="38"/>
      <c r="P45" s="37" t="s">
        <v>243</v>
      </c>
      <c r="Q45" s="37"/>
      <c r="R45" s="37"/>
      <c r="S45" s="37" t="s">
        <v>16</v>
      </c>
      <c r="T45" s="37"/>
      <c r="U45" s="37"/>
      <c r="V45" s="38" t="s">
        <v>13</v>
      </c>
      <c r="W45" s="38"/>
      <c r="X45" s="38"/>
      <c r="Y45" s="37" t="s">
        <v>11</v>
      </c>
      <c r="Z45" s="37"/>
      <c r="AA45" s="37"/>
      <c r="AB45" s="37" t="s">
        <v>2</v>
      </c>
      <c r="AC45" s="37"/>
      <c r="AD45" s="37"/>
      <c r="AE45" s="37" t="s">
        <v>45</v>
      </c>
      <c r="AF45" s="37"/>
      <c r="AG45" s="37"/>
      <c r="AH45" s="37" t="s">
        <v>471</v>
      </c>
      <c r="AI45" s="37"/>
      <c r="AJ45" s="37"/>
      <c r="AK45" s="37" t="s">
        <v>472</v>
      </c>
      <c r="AL45" s="37"/>
      <c r="AM45" s="37"/>
      <c r="AN45" s="64"/>
      <c r="AO45" s="64"/>
      <c r="AP45" s="64"/>
      <c r="AQ45" s="64"/>
      <c r="AS45" s="114"/>
      <c r="AT45" s="114"/>
      <c r="AU45" s="114"/>
      <c r="AV45" s="52" t="s">
        <v>526</v>
      </c>
      <c r="AW45" s="52"/>
      <c r="AX45" s="52"/>
      <c r="AY45" s="52" t="s">
        <v>531</v>
      </c>
      <c r="AZ45" s="52"/>
      <c r="BA45" s="52"/>
      <c r="BB45" s="40" t="s">
        <v>546</v>
      </c>
      <c r="BC45" s="40"/>
      <c r="BD45" s="40"/>
      <c r="BE45" s="107" t="s">
        <v>527</v>
      </c>
      <c r="BF45" s="107"/>
      <c r="BG45" s="107"/>
      <c r="BH45" s="59" t="s">
        <v>547</v>
      </c>
      <c r="BI45" s="59"/>
      <c r="BJ45" s="59"/>
      <c r="BK45" s="52" t="s">
        <v>534</v>
      </c>
      <c r="BL45" s="52"/>
      <c r="BM45" s="52"/>
      <c r="BN45" s="68" t="s">
        <v>535</v>
      </c>
      <c r="BO45" s="68"/>
      <c r="BP45" s="68"/>
      <c r="BQ45" s="58" t="s">
        <v>530</v>
      </c>
      <c r="BR45" s="58"/>
      <c r="BS45" s="58"/>
      <c r="BT45" s="110" t="s">
        <v>512</v>
      </c>
      <c r="BU45" s="110"/>
      <c r="BV45" s="110"/>
      <c r="BW45" s="58" t="s">
        <v>511</v>
      </c>
      <c r="BX45" s="58"/>
      <c r="BY45" s="58"/>
      <c r="BZ45" s="58" t="s">
        <v>516</v>
      </c>
      <c r="CA45" s="58"/>
      <c r="CB45" s="58"/>
      <c r="CC45" s="40" t="s">
        <v>515</v>
      </c>
      <c r="CD45" s="40"/>
      <c r="CE45" s="40"/>
      <c r="CF45" s="117" t="s">
        <v>3</v>
      </c>
      <c r="CG45" s="117"/>
      <c r="CH45" s="117"/>
      <c r="CI45" s="117"/>
      <c r="CK45" s="114"/>
      <c r="CL45" s="114"/>
      <c r="CM45" s="114"/>
      <c r="CN45" s="52" t="s">
        <v>568</v>
      </c>
      <c r="CO45" s="52"/>
      <c r="CP45" s="52"/>
      <c r="CQ45" s="52" t="s">
        <v>620</v>
      </c>
      <c r="CR45" s="52"/>
      <c r="CS45" s="52"/>
      <c r="CT45" s="40" t="s">
        <v>456</v>
      </c>
      <c r="CU45" s="40"/>
      <c r="CV45" s="40"/>
      <c r="CW45" s="107" t="s">
        <v>466</v>
      </c>
      <c r="CX45" s="107"/>
      <c r="CY45" s="107"/>
      <c r="CZ45" s="59" t="s">
        <v>570</v>
      </c>
      <c r="DA45" s="59"/>
      <c r="DB45" s="59"/>
      <c r="DC45" s="52" t="s">
        <v>622</v>
      </c>
      <c r="DD45" s="52"/>
      <c r="DE45" s="52"/>
      <c r="DF45" s="68" t="s">
        <v>564</v>
      </c>
      <c r="DG45" s="68"/>
      <c r="DH45" s="68"/>
      <c r="DI45" s="58" t="s">
        <v>459</v>
      </c>
      <c r="DJ45" s="58"/>
      <c r="DK45" s="58"/>
      <c r="DL45" s="73" t="s">
        <v>402</v>
      </c>
      <c r="DM45" s="73"/>
      <c r="DN45" s="73"/>
      <c r="DO45" s="56" t="s">
        <v>488</v>
      </c>
      <c r="DP45" s="56"/>
      <c r="DQ45" s="56"/>
      <c r="DR45" s="56" t="s">
        <v>400</v>
      </c>
      <c r="DS45" s="56"/>
      <c r="DT45" s="56"/>
      <c r="DU45" s="40" t="s">
        <v>469</v>
      </c>
      <c r="DV45" s="40"/>
      <c r="DW45" s="40"/>
      <c r="DX45" s="117" t="s">
        <v>3</v>
      </c>
      <c r="DY45" s="117"/>
      <c r="DZ45" s="117"/>
      <c r="EA45" s="117"/>
    </row>
    <row r="46" customFormat="false" ht="25.5" hidden="false" customHeight="true" outlineLevel="0" collapsed="false">
      <c r="A46" s="37" t="s">
        <v>474</v>
      </c>
      <c r="B46" s="37"/>
      <c r="C46" s="37"/>
      <c r="D46" s="37"/>
      <c r="E46" s="37" t="s">
        <v>7</v>
      </c>
      <c r="F46" s="37"/>
      <c r="G46" s="37"/>
      <c r="H46" s="37" t="s">
        <v>384</v>
      </c>
      <c r="I46" s="37"/>
      <c r="J46" s="37"/>
      <c r="K46" s="37" t="s">
        <v>353</v>
      </c>
      <c r="L46" s="37"/>
      <c r="M46" s="37"/>
      <c r="N46" s="37" t="s">
        <v>9</v>
      </c>
      <c r="O46" s="37"/>
      <c r="P46" s="37"/>
      <c r="Q46" s="37" t="s">
        <v>307</v>
      </c>
      <c r="R46" s="37"/>
      <c r="S46" s="37"/>
      <c r="T46" s="37" t="s">
        <v>12</v>
      </c>
      <c r="U46" s="37"/>
      <c r="V46" s="37"/>
      <c r="W46" s="37" t="s">
        <v>15</v>
      </c>
      <c r="X46" s="37"/>
      <c r="Y46" s="37"/>
      <c r="Z46" s="37" t="s">
        <v>475</v>
      </c>
      <c r="AA46" s="37"/>
      <c r="AB46" s="37"/>
      <c r="AC46" s="37" t="s">
        <v>476</v>
      </c>
      <c r="AD46" s="37"/>
      <c r="AE46" s="37"/>
      <c r="AF46" s="37" t="s">
        <v>477</v>
      </c>
      <c r="AG46" s="37"/>
      <c r="AH46" s="37"/>
      <c r="AI46" s="37" t="s">
        <v>3</v>
      </c>
      <c r="AJ46" s="37"/>
      <c r="AK46" s="37" t="s">
        <v>474</v>
      </c>
      <c r="AL46" s="37" t="s">
        <v>474</v>
      </c>
      <c r="AM46" s="37"/>
      <c r="AN46" s="37"/>
      <c r="AO46" s="37"/>
      <c r="AP46" s="37"/>
      <c r="AQ46" s="37"/>
      <c r="AS46" s="37"/>
      <c r="AT46" s="37"/>
      <c r="AU46" s="37"/>
      <c r="AV46" s="37"/>
      <c r="AW46" s="40" t="s">
        <v>541</v>
      </c>
      <c r="AX46" s="40"/>
      <c r="AY46" s="40"/>
      <c r="AZ46" s="40" t="s">
        <v>384</v>
      </c>
      <c r="BA46" s="40"/>
      <c r="BB46" s="40"/>
      <c r="BC46" s="40" t="s">
        <v>543</v>
      </c>
      <c r="BD46" s="40"/>
      <c r="BE46" s="40"/>
      <c r="BF46" s="40" t="s">
        <v>9</v>
      </c>
      <c r="BG46" s="40"/>
      <c r="BH46" s="40"/>
      <c r="BI46" s="40" t="s">
        <v>529</v>
      </c>
      <c r="BJ46" s="40"/>
      <c r="BK46" s="40"/>
      <c r="BL46" s="52" t="s">
        <v>537</v>
      </c>
      <c r="BM46" s="52"/>
      <c r="BN46" s="52"/>
      <c r="BO46" s="68" t="s">
        <v>520</v>
      </c>
      <c r="BP46" s="68"/>
      <c r="BQ46" s="68"/>
      <c r="BR46" s="40" t="s">
        <v>533</v>
      </c>
      <c r="BS46" s="40"/>
      <c r="BT46" s="40"/>
      <c r="BU46" s="48" t="s">
        <v>528</v>
      </c>
      <c r="BV46" s="48"/>
      <c r="BW46" s="48"/>
      <c r="BX46" s="40" t="s">
        <v>500</v>
      </c>
      <c r="BY46" s="40"/>
      <c r="BZ46" s="40"/>
      <c r="CA46" s="40" t="s">
        <v>532</v>
      </c>
      <c r="CB46" s="40"/>
      <c r="CC46" s="40"/>
      <c r="CD46" s="29"/>
      <c r="CE46" s="29"/>
      <c r="CF46" s="29"/>
      <c r="CG46" s="29"/>
      <c r="CH46" s="29"/>
      <c r="CI46" s="29"/>
      <c r="CK46" s="37"/>
      <c r="CL46" s="37"/>
      <c r="CM46" s="37"/>
      <c r="CN46" s="37"/>
      <c r="CO46" s="40" t="s">
        <v>550</v>
      </c>
      <c r="CP46" s="40"/>
      <c r="CQ46" s="40"/>
      <c r="CR46" s="40" t="s">
        <v>551</v>
      </c>
      <c r="CS46" s="40"/>
      <c r="CT46" s="40"/>
      <c r="CU46" s="40" t="s">
        <v>552</v>
      </c>
      <c r="CV46" s="40"/>
      <c r="CW46" s="40"/>
      <c r="CX46" s="40" t="s">
        <v>553</v>
      </c>
      <c r="CY46" s="40"/>
      <c r="CZ46" s="40"/>
      <c r="DA46" s="40" t="s">
        <v>550</v>
      </c>
      <c r="DB46" s="40"/>
      <c r="DC46" s="40"/>
      <c r="DD46" s="52" t="s">
        <v>633</v>
      </c>
      <c r="DE46" s="52"/>
      <c r="DF46" s="52"/>
      <c r="DG46" s="68" t="s">
        <v>565</v>
      </c>
      <c r="DH46" s="68"/>
      <c r="DI46" s="68"/>
      <c r="DJ46" s="40" t="s">
        <v>460</v>
      </c>
      <c r="DK46" s="40"/>
      <c r="DL46" s="40"/>
      <c r="DM46" s="65" t="s">
        <v>461</v>
      </c>
      <c r="DN46" s="65"/>
      <c r="DO46" s="65"/>
      <c r="DP46" s="40" t="s">
        <v>573</v>
      </c>
      <c r="DQ46" s="40"/>
      <c r="DR46" s="40"/>
      <c r="DS46" s="40" t="s">
        <v>574</v>
      </c>
      <c r="DT46" s="40"/>
      <c r="DU46" s="40"/>
      <c r="DV46" s="29"/>
      <c r="DW46" s="29"/>
      <c r="DX46" s="29"/>
      <c r="DY46" s="29"/>
      <c r="DZ46" s="29"/>
      <c r="EA46" s="29"/>
    </row>
    <row r="47" customFormat="false" ht="12.8" hidden="false" customHeight="true" outlineLevel="0" collapsed="false">
      <c r="A47" s="37" t="s">
        <v>478</v>
      </c>
      <c r="B47" s="37" t="s">
        <v>479</v>
      </c>
      <c r="C47" s="37"/>
      <c r="D47" s="37"/>
      <c r="E47" s="37" t="s">
        <v>480</v>
      </c>
      <c r="F47" s="37"/>
      <c r="G47" s="37"/>
      <c r="H47" s="37" t="s">
        <v>481</v>
      </c>
      <c r="I47" s="37"/>
      <c r="J47" s="37"/>
      <c r="K47" s="42" t="s">
        <v>482</v>
      </c>
      <c r="L47" s="42"/>
      <c r="M47" s="42"/>
      <c r="N47" s="37" t="s">
        <v>483</v>
      </c>
      <c r="O47" s="37"/>
      <c r="P47" s="37" t="s">
        <v>484</v>
      </c>
      <c r="Q47" s="37"/>
      <c r="R47" s="37"/>
      <c r="S47" s="37"/>
      <c r="T47" s="37"/>
      <c r="U47" s="37"/>
      <c r="V47" s="37" t="s">
        <v>485</v>
      </c>
      <c r="W47" s="42" t="s">
        <v>485</v>
      </c>
      <c r="X47" s="42"/>
      <c r="Y47" s="42"/>
      <c r="Z47" s="37" t="s">
        <v>557</v>
      </c>
      <c r="AA47" s="37"/>
      <c r="AB47" s="37"/>
      <c r="AC47" s="37" t="s">
        <v>481</v>
      </c>
      <c r="AD47" s="37"/>
      <c r="AE47" s="37"/>
      <c r="AF47" s="37" t="s">
        <v>478</v>
      </c>
      <c r="AG47" s="37"/>
      <c r="AH47" s="37"/>
      <c r="AI47" s="44"/>
      <c r="AJ47" s="44"/>
      <c r="AK47" s="44"/>
      <c r="AL47" s="63" t="s">
        <v>487</v>
      </c>
      <c r="AM47" s="63"/>
      <c r="AN47" s="63"/>
      <c r="AO47" s="44"/>
      <c r="AP47" s="44"/>
      <c r="AQ47" s="44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42"/>
      <c r="BD47" s="42"/>
      <c r="BE47" s="42"/>
      <c r="BF47" s="118"/>
      <c r="BG47" s="118"/>
      <c r="BH47" s="118" t="s">
        <v>484</v>
      </c>
      <c r="BI47" s="118"/>
      <c r="BJ47" s="118"/>
      <c r="BK47" s="118"/>
      <c r="BL47" s="118"/>
      <c r="BM47" s="118"/>
      <c r="BN47" s="118" t="s">
        <v>485</v>
      </c>
      <c r="BO47" s="42"/>
      <c r="BP47" s="42"/>
      <c r="BQ47" s="42"/>
      <c r="BR47" s="119"/>
      <c r="BS47" s="119"/>
      <c r="BT47" s="119"/>
      <c r="BU47" s="42"/>
      <c r="BV47" s="42"/>
      <c r="BW47" s="42"/>
      <c r="BX47" s="37"/>
      <c r="BY47" s="37"/>
      <c r="BZ47" s="37"/>
      <c r="CA47" s="44"/>
      <c r="CB47" s="44"/>
      <c r="CC47" s="44"/>
      <c r="CD47" s="34"/>
      <c r="CE47" s="34"/>
      <c r="CF47" s="34"/>
      <c r="CG47" s="44"/>
      <c r="CH47" s="44"/>
      <c r="CI47" s="44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42"/>
      <c r="CV47" s="42"/>
      <c r="CW47" s="42"/>
      <c r="CX47" s="118"/>
      <c r="CY47" s="118"/>
      <c r="CZ47" s="118" t="s">
        <v>484</v>
      </c>
      <c r="DA47" s="118"/>
      <c r="DB47" s="118"/>
      <c r="DC47" s="118"/>
      <c r="DD47" s="118"/>
      <c r="DE47" s="118"/>
      <c r="DF47" s="118" t="s">
        <v>485</v>
      </c>
      <c r="DG47" s="42"/>
      <c r="DH47" s="42"/>
      <c r="DI47" s="42"/>
      <c r="DJ47" s="119"/>
      <c r="DK47" s="119"/>
      <c r="DL47" s="119"/>
      <c r="DM47" s="42"/>
      <c r="DN47" s="42"/>
      <c r="DO47" s="42"/>
      <c r="DP47" s="37"/>
      <c r="DQ47" s="37"/>
      <c r="DR47" s="37"/>
      <c r="DS47" s="44"/>
      <c r="DT47" s="44"/>
      <c r="DU47" s="44"/>
      <c r="DV47" s="34"/>
      <c r="DW47" s="34"/>
      <c r="DX47" s="34"/>
      <c r="DY47" s="44"/>
      <c r="DZ47" s="44"/>
      <c r="EA47" s="44"/>
    </row>
    <row r="48" customFormat="false" ht="12.8" hidden="false" customHeight="false" outlineLevel="0" collapsed="false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42"/>
      <c r="L48" s="42"/>
      <c r="M48" s="42"/>
      <c r="N48" s="37"/>
      <c r="O48" s="37"/>
      <c r="P48" s="37"/>
      <c r="Q48" s="37"/>
      <c r="R48" s="37"/>
      <c r="S48" s="37"/>
      <c r="T48" s="37"/>
      <c r="U48" s="37"/>
      <c r="V48" s="37"/>
      <c r="W48" s="42"/>
      <c r="X48" s="42"/>
      <c r="Y48" s="42"/>
      <c r="Z48" s="37"/>
      <c r="AA48" s="37"/>
      <c r="AB48" s="37"/>
      <c r="AC48" s="37"/>
      <c r="AD48" s="37"/>
      <c r="AE48" s="37"/>
      <c r="AF48" s="37"/>
      <c r="AG48" s="37"/>
      <c r="AH48" s="37"/>
      <c r="AI48" s="63" t="s">
        <v>402</v>
      </c>
      <c r="AJ48" s="63"/>
      <c r="AK48" s="63" t="s">
        <v>488</v>
      </c>
      <c r="AL48" s="63" t="s">
        <v>488</v>
      </c>
      <c r="AM48" s="63"/>
      <c r="AN48" s="63"/>
      <c r="AO48" s="63" t="s">
        <v>400</v>
      </c>
      <c r="AP48" s="63"/>
      <c r="AQ48" s="63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42"/>
      <c r="BD48" s="42"/>
      <c r="BE48" s="42"/>
      <c r="BF48" s="118"/>
      <c r="BG48" s="118"/>
      <c r="BH48" s="118"/>
      <c r="BI48" s="118"/>
      <c r="BJ48" s="118"/>
      <c r="BK48" s="118"/>
      <c r="BL48" s="118"/>
      <c r="BM48" s="118"/>
      <c r="BN48" s="118"/>
      <c r="BO48" s="42"/>
      <c r="BP48" s="42"/>
      <c r="BQ48" s="42"/>
      <c r="BR48" s="119"/>
      <c r="BS48" s="119"/>
      <c r="BT48" s="119"/>
      <c r="BU48" s="42"/>
      <c r="BV48" s="42"/>
      <c r="BW48" s="42"/>
      <c r="BX48" s="37"/>
      <c r="BY48" s="37"/>
      <c r="BZ48" s="37"/>
      <c r="CA48" s="34"/>
      <c r="CB48" s="34"/>
      <c r="CC48" s="34"/>
      <c r="CD48" s="34"/>
      <c r="CE48" s="34"/>
      <c r="CF48" s="34"/>
      <c r="CG48" s="34"/>
      <c r="CH48" s="34"/>
      <c r="CI48" s="34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42"/>
      <c r="CV48" s="42"/>
      <c r="CW48" s="42"/>
      <c r="CX48" s="118"/>
      <c r="CY48" s="118"/>
      <c r="CZ48" s="118"/>
      <c r="DA48" s="118"/>
      <c r="DB48" s="118"/>
      <c r="DC48" s="118"/>
      <c r="DD48" s="118"/>
      <c r="DE48" s="118"/>
      <c r="DF48" s="118"/>
      <c r="DG48" s="42"/>
      <c r="DH48" s="42"/>
      <c r="DI48" s="42"/>
      <c r="DJ48" s="119"/>
      <c r="DK48" s="119"/>
      <c r="DL48" s="119"/>
      <c r="DM48" s="42"/>
      <c r="DN48" s="42"/>
      <c r="DO48" s="42"/>
      <c r="DP48" s="37"/>
      <c r="DQ48" s="37"/>
      <c r="DR48" s="37"/>
      <c r="DS48" s="34"/>
      <c r="DT48" s="34"/>
      <c r="DU48" s="34"/>
      <c r="DV48" s="34"/>
      <c r="DW48" s="34"/>
      <c r="DX48" s="34"/>
      <c r="DY48" s="34"/>
      <c r="DZ48" s="34"/>
      <c r="EA48" s="34"/>
    </row>
    <row r="50" customFormat="false" ht="12.8" hidden="false" customHeight="false" outlineLevel="0" collapsed="false">
      <c r="A50" s="17" t="s">
        <v>703</v>
      </c>
      <c r="B50" s="17"/>
      <c r="C50" s="17"/>
      <c r="D50" s="66"/>
      <c r="E50" s="66"/>
      <c r="F50" s="6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7"/>
      <c r="AS50" s="28" t="s">
        <v>704</v>
      </c>
      <c r="AT50" s="6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7"/>
    </row>
    <row r="51" customFormat="false" ht="25.5" hidden="false" customHeight="true" outlineLevel="0" collapsed="false">
      <c r="A51" s="63" t="s">
        <v>461</v>
      </c>
      <c r="B51" s="63" t="n">
        <v>1</v>
      </c>
      <c r="C51" s="63"/>
      <c r="D51" s="63"/>
      <c r="E51" s="63" t="n">
        <v>2</v>
      </c>
      <c r="F51" s="63"/>
      <c r="G51" s="63"/>
      <c r="H51" s="63" t="n">
        <v>3</v>
      </c>
      <c r="I51" s="63"/>
      <c r="J51" s="63"/>
      <c r="K51" s="63" t="n">
        <v>4</v>
      </c>
      <c r="L51" s="63"/>
      <c r="M51" s="63"/>
      <c r="N51" s="63" t="n">
        <v>5</v>
      </c>
      <c r="O51" s="63"/>
      <c r="P51" s="63"/>
      <c r="Q51" s="63" t="n">
        <v>6</v>
      </c>
      <c r="R51" s="63"/>
      <c r="S51" s="63"/>
      <c r="T51" s="63" t="n">
        <v>7</v>
      </c>
      <c r="U51" s="63"/>
      <c r="V51" s="63"/>
      <c r="W51" s="63" t="n">
        <v>8</v>
      </c>
      <c r="X51" s="63"/>
      <c r="Y51" s="63"/>
      <c r="Z51" s="63" t="n">
        <v>9</v>
      </c>
      <c r="AA51" s="63"/>
      <c r="AB51" s="63"/>
      <c r="AC51" s="63" t="n">
        <v>0</v>
      </c>
      <c r="AD51" s="63"/>
      <c r="AE51" s="63"/>
      <c r="AF51" s="37" t="s">
        <v>462</v>
      </c>
      <c r="AG51" s="37"/>
      <c r="AH51" s="37"/>
      <c r="AI51" s="37" t="s">
        <v>463</v>
      </c>
      <c r="AJ51" s="37"/>
      <c r="AK51" s="37"/>
      <c r="AL51" s="37" t="s">
        <v>464</v>
      </c>
      <c r="AM51" s="37"/>
      <c r="AN51" s="37"/>
      <c r="AO51" s="37" t="s">
        <v>465</v>
      </c>
      <c r="AP51" s="37"/>
      <c r="AQ51" s="37"/>
      <c r="AS51" s="34" t="s">
        <v>461</v>
      </c>
      <c r="AT51" s="34" t="n">
        <v>1</v>
      </c>
      <c r="AU51" s="34"/>
      <c r="AV51" s="34"/>
      <c r="AW51" s="34" t="n">
        <v>2</v>
      </c>
      <c r="AX51" s="34"/>
      <c r="AY51" s="34"/>
      <c r="AZ51" s="34" t="n">
        <v>3</v>
      </c>
      <c r="BA51" s="34"/>
      <c r="BB51" s="34"/>
      <c r="BC51" s="34" t="n">
        <v>4</v>
      </c>
      <c r="BD51" s="34"/>
      <c r="BE51" s="34"/>
      <c r="BF51" s="34" t="n">
        <v>5</v>
      </c>
      <c r="BG51" s="34"/>
      <c r="BH51" s="34"/>
      <c r="BI51" s="34" t="n">
        <v>6</v>
      </c>
      <c r="BJ51" s="34"/>
      <c r="BK51" s="34"/>
      <c r="BL51" s="34" t="n">
        <v>7</v>
      </c>
      <c r="BM51" s="34"/>
      <c r="BN51" s="34"/>
      <c r="BO51" s="34" t="n">
        <v>8</v>
      </c>
      <c r="BP51" s="34"/>
      <c r="BQ51" s="34"/>
      <c r="BR51" s="34" t="n">
        <v>9</v>
      </c>
      <c r="BS51" s="34"/>
      <c r="BT51" s="34"/>
      <c r="BU51" s="34" t="n">
        <v>0</v>
      </c>
      <c r="BV51" s="34"/>
      <c r="BW51" s="34"/>
      <c r="BX51" s="29" t="s">
        <v>462</v>
      </c>
      <c r="BY51" s="29"/>
      <c r="BZ51" s="29"/>
      <c r="CA51" s="29" t="s">
        <v>463</v>
      </c>
      <c r="CB51" s="29"/>
      <c r="CC51" s="29"/>
      <c r="CD51" s="29" t="s">
        <v>464</v>
      </c>
      <c r="CE51" s="29"/>
      <c r="CF51" s="29"/>
      <c r="CG51" s="29" t="s">
        <v>465</v>
      </c>
      <c r="CH51" s="29"/>
      <c r="CI51" s="29"/>
    </row>
    <row r="52" customFormat="false" ht="25.5" hidden="false" customHeight="true" outlineLevel="0" collapsed="false">
      <c r="A52" s="37" t="s">
        <v>466</v>
      </c>
      <c r="B52" s="37"/>
      <c r="C52" s="37" t="s">
        <v>10</v>
      </c>
      <c r="D52" s="37"/>
      <c r="E52" s="37"/>
      <c r="F52" s="37" t="s">
        <v>6</v>
      </c>
      <c r="G52" s="37"/>
      <c r="H52" s="37"/>
      <c r="I52" s="37" t="s">
        <v>5</v>
      </c>
      <c r="J52" s="37"/>
      <c r="K52" s="37"/>
      <c r="L52" s="37" t="s">
        <v>284</v>
      </c>
      <c r="M52" s="37"/>
      <c r="N52" s="37"/>
      <c r="O52" s="37" t="s">
        <v>4</v>
      </c>
      <c r="P52" s="37"/>
      <c r="Q52" s="37"/>
      <c r="R52" s="37" t="s">
        <v>12</v>
      </c>
      <c r="S52" s="37"/>
      <c r="T52" s="37"/>
      <c r="U52" s="37" t="s">
        <v>47</v>
      </c>
      <c r="V52" s="37"/>
      <c r="W52" s="37"/>
      <c r="X52" s="37" t="s">
        <v>14</v>
      </c>
      <c r="Y52" s="37"/>
      <c r="Z52" s="37"/>
      <c r="AA52" s="37" t="s">
        <v>198</v>
      </c>
      <c r="AB52" s="37"/>
      <c r="AC52" s="37"/>
      <c r="AD52" s="37" t="s">
        <v>3</v>
      </c>
      <c r="AE52" s="37"/>
      <c r="AF52" s="37"/>
      <c r="AG52" s="37" t="s">
        <v>467</v>
      </c>
      <c r="AH52" s="37"/>
      <c r="AI52" s="37"/>
      <c r="AJ52" s="37" t="s">
        <v>468</v>
      </c>
      <c r="AK52" s="37"/>
      <c r="AL52" s="37"/>
      <c r="AM52" s="37" t="s">
        <v>469</v>
      </c>
      <c r="AN52" s="37"/>
      <c r="AO52" s="37"/>
      <c r="AP52" s="37"/>
      <c r="AQ52" s="37"/>
      <c r="AS52" s="29" t="s">
        <v>466</v>
      </c>
      <c r="AT52" s="29"/>
      <c r="AU52" s="29" t="s">
        <v>10</v>
      </c>
      <c r="AV52" s="29"/>
      <c r="AW52" s="29"/>
      <c r="AX52" s="29" t="s">
        <v>6</v>
      </c>
      <c r="AY52" s="29"/>
      <c r="AZ52" s="29"/>
      <c r="BA52" s="29" t="s">
        <v>47</v>
      </c>
      <c r="BB52" s="29"/>
      <c r="BC52" s="29"/>
      <c r="BD52" s="29" t="s">
        <v>46</v>
      </c>
      <c r="BE52" s="29"/>
      <c r="BF52" s="29"/>
      <c r="BG52" s="29" t="s">
        <v>307</v>
      </c>
      <c r="BH52" s="29"/>
      <c r="BI52" s="29"/>
      <c r="BJ52" s="29" t="s">
        <v>12</v>
      </c>
      <c r="BK52" s="29"/>
      <c r="BL52" s="29"/>
      <c r="BM52" s="29" t="s">
        <v>5</v>
      </c>
      <c r="BN52" s="29"/>
      <c r="BO52" s="29"/>
      <c r="BP52" s="29" t="s">
        <v>14</v>
      </c>
      <c r="BQ52" s="29"/>
      <c r="BR52" s="29"/>
      <c r="BS52" s="29" t="s">
        <v>198</v>
      </c>
      <c r="BT52" s="29"/>
      <c r="BU52" s="29"/>
      <c r="BV52" s="29" t="s">
        <v>3</v>
      </c>
      <c r="BW52" s="29"/>
      <c r="BX52" s="29"/>
      <c r="BY52" s="29" t="s">
        <v>467</v>
      </c>
      <c r="BZ52" s="29"/>
      <c r="CA52" s="29"/>
      <c r="CB52" s="29" t="s">
        <v>468</v>
      </c>
      <c r="CC52" s="29"/>
      <c r="CD52" s="29"/>
      <c r="CE52" s="29" t="s">
        <v>469</v>
      </c>
      <c r="CF52" s="29"/>
      <c r="CG52" s="29"/>
      <c r="CH52" s="29"/>
      <c r="CI52" s="29"/>
    </row>
    <row r="53" customFormat="false" ht="25.5" hidden="false" customHeight="true" outlineLevel="0" collapsed="false">
      <c r="A53" s="37" t="s">
        <v>473</v>
      </c>
      <c r="B53" s="37"/>
      <c r="C53" s="37"/>
      <c r="D53" s="37" t="s">
        <v>1</v>
      </c>
      <c r="E53" s="37"/>
      <c r="F53" s="37"/>
      <c r="G53" s="37" t="s">
        <v>8</v>
      </c>
      <c r="H53" s="37"/>
      <c r="I53" s="37"/>
      <c r="J53" s="37" t="s">
        <v>209</v>
      </c>
      <c r="K53" s="37"/>
      <c r="L53" s="37"/>
      <c r="M53" s="38" t="s">
        <v>105</v>
      </c>
      <c r="N53" s="38"/>
      <c r="O53" s="38"/>
      <c r="P53" s="37" t="s">
        <v>243</v>
      </c>
      <c r="Q53" s="37"/>
      <c r="R53" s="37"/>
      <c r="S53" s="37" t="s">
        <v>16</v>
      </c>
      <c r="T53" s="37"/>
      <c r="U53" s="37"/>
      <c r="V53" s="38" t="s">
        <v>13</v>
      </c>
      <c r="W53" s="38"/>
      <c r="X53" s="38"/>
      <c r="Y53" s="37" t="s">
        <v>11</v>
      </c>
      <c r="Z53" s="37"/>
      <c r="AA53" s="37"/>
      <c r="AB53" s="37" t="s">
        <v>2</v>
      </c>
      <c r="AC53" s="37"/>
      <c r="AD53" s="37"/>
      <c r="AE53" s="37" t="s">
        <v>45</v>
      </c>
      <c r="AF53" s="37"/>
      <c r="AG53" s="37"/>
      <c r="AH53" s="37" t="s">
        <v>471</v>
      </c>
      <c r="AI53" s="37"/>
      <c r="AJ53" s="37"/>
      <c r="AK53" s="37" t="s">
        <v>472</v>
      </c>
      <c r="AL53" s="37"/>
      <c r="AM53" s="37"/>
      <c r="AN53" s="64"/>
      <c r="AO53" s="64"/>
      <c r="AP53" s="64"/>
      <c r="AQ53" s="64"/>
      <c r="AS53" s="37" t="s">
        <v>473</v>
      </c>
      <c r="AT53" s="37"/>
      <c r="AU53" s="37"/>
      <c r="AV53" s="29" t="s">
        <v>1</v>
      </c>
      <c r="AW53" s="29"/>
      <c r="AX53" s="29"/>
      <c r="AY53" s="29" t="s">
        <v>209</v>
      </c>
      <c r="AZ53" s="29"/>
      <c r="BA53" s="29"/>
      <c r="BB53" s="29" t="s">
        <v>8</v>
      </c>
      <c r="BC53" s="29"/>
      <c r="BD53" s="29"/>
      <c r="BE53" s="38" t="s">
        <v>105</v>
      </c>
      <c r="BF53" s="38"/>
      <c r="BG53" s="38"/>
      <c r="BH53" s="29" t="s">
        <v>243</v>
      </c>
      <c r="BI53" s="29"/>
      <c r="BJ53" s="29"/>
      <c r="BK53" s="29" t="s">
        <v>15</v>
      </c>
      <c r="BL53" s="29"/>
      <c r="BM53" s="29"/>
      <c r="BN53" s="38" t="s">
        <v>13</v>
      </c>
      <c r="BO53" s="38"/>
      <c r="BP53" s="38"/>
      <c r="BQ53" s="29" t="s">
        <v>11</v>
      </c>
      <c r="BR53" s="29"/>
      <c r="BS53" s="29"/>
      <c r="BT53" s="29" t="s">
        <v>2</v>
      </c>
      <c r="BU53" s="29"/>
      <c r="BV53" s="29"/>
      <c r="BW53" s="29" t="s">
        <v>45</v>
      </c>
      <c r="BX53" s="29"/>
      <c r="BY53" s="29"/>
      <c r="BZ53" s="29" t="s">
        <v>471</v>
      </c>
      <c r="CA53" s="29"/>
      <c r="CB53" s="29"/>
      <c r="CC53" s="29" t="s">
        <v>472</v>
      </c>
      <c r="CD53" s="29"/>
      <c r="CE53" s="29"/>
      <c r="CF53" s="39"/>
      <c r="CG53" s="39"/>
      <c r="CH53" s="39"/>
      <c r="CI53" s="39"/>
    </row>
    <row r="54" customFormat="false" ht="25.5" hidden="false" customHeight="true" outlineLevel="0" collapsed="false">
      <c r="A54" s="37" t="s">
        <v>474</v>
      </c>
      <c r="B54" s="37"/>
      <c r="C54" s="37"/>
      <c r="D54" s="37"/>
      <c r="E54" s="37" t="s">
        <v>7</v>
      </c>
      <c r="F54" s="37"/>
      <c r="G54" s="37"/>
      <c r="H54" s="37" t="s">
        <v>384</v>
      </c>
      <c r="I54" s="37"/>
      <c r="J54" s="37"/>
      <c r="K54" s="37" t="s">
        <v>353</v>
      </c>
      <c r="L54" s="37"/>
      <c r="M54" s="37"/>
      <c r="N54" s="37" t="s">
        <v>9</v>
      </c>
      <c r="O54" s="37"/>
      <c r="P54" s="37"/>
      <c r="Q54" s="37" t="s">
        <v>307</v>
      </c>
      <c r="R54" s="37"/>
      <c r="S54" s="37"/>
      <c r="T54" s="37" t="s">
        <v>46</v>
      </c>
      <c r="U54" s="37"/>
      <c r="V54" s="37"/>
      <c r="W54" s="37" t="s">
        <v>15</v>
      </c>
      <c r="X54" s="37"/>
      <c r="Y54" s="37"/>
      <c r="Z54" s="37" t="s">
        <v>475</v>
      </c>
      <c r="AA54" s="37"/>
      <c r="AB54" s="37"/>
      <c r="AC54" s="37" t="s">
        <v>476</v>
      </c>
      <c r="AD54" s="37"/>
      <c r="AE54" s="37"/>
      <c r="AF54" s="37" t="s">
        <v>477</v>
      </c>
      <c r="AG54" s="37"/>
      <c r="AH54" s="37"/>
      <c r="AI54" s="37" t="s">
        <v>3</v>
      </c>
      <c r="AJ54" s="37"/>
      <c r="AK54" s="37" t="s">
        <v>474</v>
      </c>
      <c r="AL54" s="37" t="s">
        <v>474</v>
      </c>
      <c r="AM54" s="37"/>
      <c r="AN54" s="37"/>
      <c r="AO54" s="37"/>
      <c r="AP54" s="37"/>
      <c r="AQ54" s="37"/>
      <c r="AS54" s="37" t="s">
        <v>474</v>
      </c>
      <c r="AT54" s="37"/>
      <c r="AU54" s="37"/>
      <c r="AV54" s="37"/>
      <c r="AW54" s="37" t="s">
        <v>384</v>
      </c>
      <c r="AX54" s="37"/>
      <c r="AY54" s="37"/>
      <c r="AZ54" s="37" t="s">
        <v>353</v>
      </c>
      <c r="BA54" s="37"/>
      <c r="BB54" s="37"/>
      <c r="BC54" s="37" t="s">
        <v>284</v>
      </c>
      <c r="BD54" s="37"/>
      <c r="BE54" s="37"/>
      <c r="BF54" s="37" t="s">
        <v>9</v>
      </c>
      <c r="BG54" s="37"/>
      <c r="BH54" s="37"/>
      <c r="BI54" s="29" t="s">
        <v>7</v>
      </c>
      <c r="BJ54" s="29"/>
      <c r="BK54" s="29" t="s">
        <v>474</v>
      </c>
      <c r="BL54" s="37" t="s">
        <v>4</v>
      </c>
      <c r="BM54" s="37"/>
      <c r="BN54" s="37"/>
      <c r="BO54" s="37" t="s">
        <v>16</v>
      </c>
      <c r="BP54" s="37"/>
      <c r="BQ54" s="37"/>
      <c r="BR54" s="37" t="s">
        <v>475</v>
      </c>
      <c r="BS54" s="37"/>
      <c r="BT54" s="37"/>
      <c r="BU54" s="29" t="s">
        <v>476</v>
      </c>
      <c r="BV54" s="29"/>
      <c r="BW54" s="29"/>
      <c r="BX54" s="37" t="s">
        <v>477</v>
      </c>
      <c r="BY54" s="37"/>
      <c r="BZ54" s="37"/>
      <c r="CA54" s="29" t="s">
        <v>464</v>
      </c>
      <c r="CB54" s="29"/>
      <c r="CC54" s="29" t="s">
        <v>474</v>
      </c>
      <c r="CD54" s="29" t="s">
        <v>474</v>
      </c>
      <c r="CE54" s="29"/>
      <c r="CF54" s="29"/>
      <c r="CG54" s="29"/>
      <c r="CH54" s="29"/>
      <c r="CI54" s="29"/>
    </row>
    <row r="55" customFormat="false" ht="12.8" hidden="false" customHeight="false" outlineLevel="0" collapsed="false">
      <c r="A55" s="37" t="s">
        <v>478</v>
      </c>
      <c r="B55" s="37" t="s">
        <v>479</v>
      </c>
      <c r="C55" s="37"/>
      <c r="D55" s="37"/>
      <c r="E55" s="37" t="s">
        <v>480</v>
      </c>
      <c r="F55" s="37"/>
      <c r="G55" s="37"/>
      <c r="H55" s="37" t="s">
        <v>481</v>
      </c>
      <c r="I55" s="37"/>
      <c r="J55" s="37"/>
      <c r="K55" s="42" t="s">
        <v>482</v>
      </c>
      <c r="L55" s="42"/>
      <c r="M55" s="42"/>
      <c r="N55" s="37" t="s">
        <v>483</v>
      </c>
      <c r="O55" s="37"/>
      <c r="P55" s="37" t="s">
        <v>484</v>
      </c>
      <c r="Q55" s="37"/>
      <c r="R55" s="37"/>
      <c r="S55" s="37"/>
      <c r="T55" s="37"/>
      <c r="U55" s="37"/>
      <c r="V55" s="37" t="s">
        <v>485</v>
      </c>
      <c r="W55" s="42" t="s">
        <v>485</v>
      </c>
      <c r="X55" s="42"/>
      <c r="Y55" s="42"/>
      <c r="Z55" s="37" t="s">
        <v>557</v>
      </c>
      <c r="AA55" s="37"/>
      <c r="AB55" s="37"/>
      <c r="AC55" s="37" t="s">
        <v>481</v>
      </c>
      <c r="AD55" s="37"/>
      <c r="AE55" s="37"/>
      <c r="AF55" s="37" t="s">
        <v>478</v>
      </c>
      <c r="AG55" s="37"/>
      <c r="AH55" s="37"/>
      <c r="AI55" s="44"/>
      <c r="AJ55" s="44"/>
      <c r="AK55" s="44"/>
      <c r="AL55" s="63" t="s">
        <v>487</v>
      </c>
      <c r="AM55" s="63"/>
      <c r="AN55" s="63"/>
      <c r="AO55" s="44"/>
      <c r="AP55" s="44"/>
      <c r="AQ55" s="44"/>
      <c r="AS55" s="37" t="s">
        <v>478</v>
      </c>
      <c r="AT55" s="37" t="s">
        <v>479</v>
      </c>
      <c r="AU55" s="37"/>
      <c r="AV55" s="37"/>
      <c r="AW55" s="37" t="s">
        <v>480</v>
      </c>
      <c r="AX55" s="37"/>
      <c r="AY55" s="37"/>
      <c r="AZ55" s="37" t="s">
        <v>481</v>
      </c>
      <c r="BA55" s="37"/>
      <c r="BB55" s="37"/>
      <c r="BC55" s="42" t="s">
        <v>482</v>
      </c>
      <c r="BD55" s="42"/>
      <c r="BE55" s="42"/>
      <c r="BF55" s="37" t="s">
        <v>483</v>
      </c>
      <c r="BG55" s="37"/>
      <c r="BH55" s="37" t="s">
        <v>484</v>
      </c>
      <c r="BI55" s="37"/>
      <c r="BJ55" s="37"/>
      <c r="BK55" s="37"/>
      <c r="BL55" s="37"/>
      <c r="BM55" s="37"/>
      <c r="BN55" s="37" t="s">
        <v>485</v>
      </c>
      <c r="BO55" s="42" t="s">
        <v>485</v>
      </c>
      <c r="BP55" s="42"/>
      <c r="BQ55" s="42"/>
      <c r="BR55" s="37" t="s">
        <v>557</v>
      </c>
      <c r="BS55" s="37"/>
      <c r="BT55" s="37"/>
      <c r="BU55" s="37" t="s">
        <v>481</v>
      </c>
      <c r="BV55" s="37"/>
      <c r="BW55" s="37"/>
      <c r="BX55" s="37" t="s">
        <v>478</v>
      </c>
      <c r="BY55" s="37"/>
      <c r="BZ55" s="37"/>
      <c r="CA55" s="44"/>
      <c r="CB55" s="44"/>
      <c r="CC55" s="44"/>
      <c r="CD55" s="34" t="s">
        <v>487</v>
      </c>
      <c r="CE55" s="34"/>
      <c r="CF55" s="34"/>
      <c r="CG55" s="44"/>
      <c r="CH55" s="44"/>
      <c r="CI55" s="44"/>
    </row>
    <row r="56" customFormat="false" ht="12.8" hidden="false" customHeight="false" outlineLevel="0" collapsed="false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42"/>
      <c r="L56" s="42"/>
      <c r="M56" s="42"/>
      <c r="N56" s="37"/>
      <c r="O56" s="37"/>
      <c r="P56" s="37"/>
      <c r="Q56" s="37"/>
      <c r="R56" s="37"/>
      <c r="S56" s="37"/>
      <c r="T56" s="37"/>
      <c r="U56" s="37"/>
      <c r="V56" s="37"/>
      <c r="W56" s="42"/>
      <c r="X56" s="42"/>
      <c r="Y56" s="42"/>
      <c r="Z56" s="37"/>
      <c r="AA56" s="37"/>
      <c r="AB56" s="37"/>
      <c r="AC56" s="37"/>
      <c r="AD56" s="37"/>
      <c r="AE56" s="37"/>
      <c r="AF56" s="37"/>
      <c r="AG56" s="37"/>
      <c r="AH56" s="37"/>
      <c r="AI56" s="63" t="s">
        <v>402</v>
      </c>
      <c r="AJ56" s="63"/>
      <c r="AK56" s="63" t="s">
        <v>488</v>
      </c>
      <c r="AL56" s="63" t="s">
        <v>488</v>
      </c>
      <c r="AM56" s="63"/>
      <c r="AN56" s="63"/>
      <c r="AO56" s="63" t="s">
        <v>400</v>
      </c>
      <c r="AP56" s="63"/>
      <c r="AQ56" s="63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42"/>
      <c r="BD56" s="42"/>
      <c r="BE56" s="42"/>
      <c r="BF56" s="37"/>
      <c r="BG56" s="37"/>
      <c r="BH56" s="37"/>
      <c r="BI56" s="37"/>
      <c r="BJ56" s="37"/>
      <c r="BK56" s="37"/>
      <c r="BL56" s="37"/>
      <c r="BM56" s="37"/>
      <c r="BN56" s="37"/>
      <c r="BO56" s="42"/>
      <c r="BP56" s="42"/>
      <c r="BQ56" s="42"/>
      <c r="BR56" s="37"/>
      <c r="BS56" s="37"/>
      <c r="BT56" s="37"/>
      <c r="BU56" s="37"/>
      <c r="BV56" s="37"/>
      <c r="BW56" s="37"/>
      <c r="BX56" s="37"/>
      <c r="BY56" s="37"/>
      <c r="BZ56" s="37"/>
      <c r="CA56" s="34" t="s">
        <v>402</v>
      </c>
      <c r="CB56" s="34"/>
      <c r="CC56" s="34" t="s">
        <v>488</v>
      </c>
      <c r="CD56" s="34" t="s">
        <v>488</v>
      </c>
      <c r="CE56" s="34"/>
      <c r="CF56" s="34"/>
      <c r="CG56" s="34" t="s">
        <v>400</v>
      </c>
      <c r="CH56" s="34"/>
      <c r="CI56" s="34"/>
    </row>
  </sheetData>
  <mergeCells count="1255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L3:CN3"/>
    <mergeCell ref="CO3:CQ3"/>
    <mergeCell ref="CR3:CT3"/>
    <mergeCell ref="CU3:CW3"/>
    <mergeCell ref="CX3:CZ3"/>
    <mergeCell ref="DA3:DC3"/>
    <mergeCell ref="DD3:DF3"/>
    <mergeCell ref="DG3:DI3"/>
    <mergeCell ref="DJ3:DL3"/>
    <mergeCell ref="DM3:DO3"/>
    <mergeCell ref="DP3:DR3"/>
    <mergeCell ref="DS3:DU3"/>
    <mergeCell ref="DV3:DX3"/>
    <mergeCell ref="DY3:EA3"/>
    <mergeCell ref="A4:B4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Q4"/>
    <mergeCell ref="AS4:AT4"/>
    <mergeCell ref="AU4:AW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BY4:CA4"/>
    <mergeCell ref="CB4:CD4"/>
    <mergeCell ref="CE4:CI4"/>
    <mergeCell ref="CK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DQ4:DS4"/>
    <mergeCell ref="DT4:DV4"/>
    <mergeCell ref="DW4:EA4"/>
    <mergeCell ref="A5:C5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Q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BT5:BV5"/>
    <mergeCell ref="BW5:BY5"/>
    <mergeCell ref="BZ5:CB5"/>
    <mergeCell ref="CC5:CE5"/>
    <mergeCell ref="CF5:CI5"/>
    <mergeCell ref="CK5:CM5"/>
    <mergeCell ref="CN5:CP5"/>
    <mergeCell ref="CQ5:CS5"/>
    <mergeCell ref="CT5:CV5"/>
    <mergeCell ref="CW5:CY5"/>
    <mergeCell ref="CZ5:DB5"/>
    <mergeCell ref="DC5:DE5"/>
    <mergeCell ref="DF5:DH5"/>
    <mergeCell ref="DI5:DK5"/>
    <mergeCell ref="DL5:DN5"/>
    <mergeCell ref="DO5:DQ5"/>
    <mergeCell ref="DR5:DT5"/>
    <mergeCell ref="DU5:DW5"/>
    <mergeCell ref="DX5:EA5"/>
    <mergeCell ref="A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Q6"/>
    <mergeCell ref="AS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I6"/>
    <mergeCell ref="CK6:CN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DP6:DR6"/>
    <mergeCell ref="DS6:DU6"/>
    <mergeCell ref="DV6:EA6"/>
    <mergeCell ref="A7:A8"/>
    <mergeCell ref="B7:D8"/>
    <mergeCell ref="E7:G8"/>
    <mergeCell ref="H7:J8"/>
    <mergeCell ref="K7:M8"/>
    <mergeCell ref="N7:V8"/>
    <mergeCell ref="W7:Y8"/>
    <mergeCell ref="Z7:AB8"/>
    <mergeCell ref="AC7:AE8"/>
    <mergeCell ref="AF7:AH8"/>
    <mergeCell ref="AI7:AK7"/>
    <mergeCell ref="AL7:AN7"/>
    <mergeCell ref="AS7:AS8"/>
    <mergeCell ref="AT7:AV8"/>
    <mergeCell ref="AW7:AY8"/>
    <mergeCell ref="AZ7:BB8"/>
    <mergeCell ref="BC7:BE8"/>
    <mergeCell ref="BF7:BN8"/>
    <mergeCell ref="BO7:BQ8"/>
    <mergeCell ref="BR7:BT8"/>
    <mergeCell ref="BU7:BW8"/>
    <mergeCell ref="BX7:BZ8"/>
    <mergeCell ref="CA7:CC7"/>
    <mergeCell ref="CD7:CF7"/>
    <mergeCell ref="CK7:CK8"/>
    <mergeCell ref="CL7:CN8"/>
    <mergeCell ref="CO7:CQ8"/>
    <mergeCell ref="CR7:CT8"/>
    <mergeCell ref="CU7:CW8"/>
    <mergeCell ref="CX7:DF8"/>
    <mergeCell ref="DG7:DI8"/>
    <mergeCell ref="DJ7:DL8"/>
    <mergeCell ref="DM7:DO8"/>
    <mergeCell ref="DP7:DR8"/>
    <mergeCell ref="DS7:DU7"/>
    <mergeCell ref="DV7:DX7"/>
    <mergeCell ref="AI8:AK8"/>
    <mergeCell ref="AL8:AN8"/>
    <mergeCell ref="AO8:AQ8"/>
    <mergeCell ref="CA8:CC8"/>
    <mergeCell ref="CD8:CF8"/>
    <mergeCell ref="CG8:CI8"/>
    <mergeCell ref="DS8:DU8"/>
    <mergeCell ref="DV8:DX8"/>
    <mergeCell ref="DY8:EA8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AT11:AV11"/>
    <mergeCell ref="AW11:AY11"/>
    <mergeCell ref="AZ11:BB11"/>
    <mergeCell ref="BC11:BE11"/>
    <mergeCell ref="BF11:BH11"/>
    <mergeCell ref="BI11:BK11"/>
    <mergeCell ref="BL11:BN11"/>
    <mergeCell ref="BO11:BQ11"/>
    <mergeCell ref="BR11:BT11"/>
    <mergeCell ref="BU11:BW11"/>
    <mergeCell ref="BX11:BZ11"/>
    <mergeCell ref="CA11:CC11"/>
    <mergeCell ref="CD11:CF11"/>
    <mergeCell ref="CG11:CI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Q12"/>
    <mergeCell ref="AS12:AT12"/>
    <mergeCell ref="AU12:AW12"/>
    <mergeCell ref="AX12:AZ12"/>
    <mergeCell ref="BA12:BC12"/>
    <mergeCell ref="BD12:BF12"/>
    <mergeCell ref="BG12:BI12"/>
    <mergeCell ref="BJ12:BL12"/>
    <mergeCell ref="BM12:BO12"/>
    <mergeCell ref="BP12:BR12"/>
    <mergeCell ref="BS12:BU12"/>
    <mergeCell ref="BV12:BX12"/>
    <mergeCell ref="BY12:CA12"/>
    <mergeCell ref="CB12:CD12"/>
    <mergeCell ref="CE12:CI12"/>
    <mergeCell ref="CK12:CL12"/>
    <mergeCell ref="CM12:CO12"/>
    <mergeCell ref="CP12:CR12"/>
    <mergeCell ref="CS12:CU12"/>
    <mergeCell ref="CV12:CX12"/>
    <mergeCell ref="CY12:DA12"/>
    <mergeCell ref="DB12:DD12"/>
    <mergeCell ref="DE12:DG12"/>
    <mergeCell ref="DH12:DJ12"/>
    <mergeCell ref="DK12:DM12"/>
    <mergeCell ref="DN12:DP12"/>
    <mergeCell ref="DQ12:DS12"/>
    <mergeCell ref="DT12:DV12"/>
    <mergeCell ref="DW12:EA12"/>
    <mergeCell ref="A13:C13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G13"/>
    <mergeCell ref="AH13:AJ13"/>
    <mergeCell ref="AK13:AM13"/>
    <mergeCell ref="AN13:AQ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I13"/>
    <mergeCell ref="CK13:CM13"/>
    <mergeCell ref="CN13:CP13"/>
    <mergeCell ref="CQ13:CS13"/>
    <mergeCell ref="CT13:CV13"/>
    <mergeCell ref="CW13:CY13"/>
    <mergeCell ref="CZ13:DB13"/>
    <mergeCell ref="DC13:DE13"/>
    <mergeCell ref="DF13:DH13"/>
    <mergeCell ref="DI13:DK13"/>
    <mergeCell ref="DL13:DN13"/>
    <mergeCell ref="DO13:DQ13"/>
    <mergeCell ref="DR13:DT13"/>
    <mergeCell ref="DU13:DW13"/>
    <mergeCell ref="DX13:EA13"/>
    <mergeCell ref="A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  <mergeCell ref="AL14:AQ14"/>
    <mergeCell ref="AS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W14"/>
    <mergeCell ref="BX14:BZ14"/>
    <mergeCell ref="CA14:CC14"/>
    <mergeCell ref="CD14:CI14"/>
    <mergeCell ref="CK14:CN14"/>
    <mergeCell ref="CO14:CQ14"/>
    <mergeCell ref="CR14:CT14"/>
    <mergeCell ref="CU14:CW14"/>
    <mergeCell ref="CX14:CZ14"/>
    <mergeCell ref="DA14:DC14"/>
    <mergeCell ref="DD14:DF14"/>
    <mergeCell ref="DG14:DI14"/>
    <mergeCell ref="DJ14:DL14"/>
    <mergeCell ref="DM14:DO14"/>
    <mergeCell ref="DP14:DR14"/>
    <mergeCell ref="DS14:DU14"/>
    <mergeCell ref="DV14:EA14"/>
    <mergeCell ref="A15:A16"/>
    <mergeCell ref="B15:D16"/>
    <mergeCell ref="E15:G16"/>
    <mergeCell ref="H15:J16"/>
    <mergeCell ref="K15:M16"/>
    <mergeCell ref="N15:V16"/>
    <mergeCell ref="W15:Y16"/>
    <mergeCell ref="Z15:AB16"/>
    <mergeCell ref="AC15:AE16"/>
    <mergeCell ref="AF15:AH16"/>
    <mergeCell ref="AI15:AK15"/>
    <mergeCell ref="AL15:AN15"/>
    <mergeCell ref="AS15:AS16"/>
    <mergeCell ref="AT15:AV16"/>
    <mergeCell ref="AW15:AY16"/>
    <mergeCell ref="AZ15:BB16"/>
    <mergeCell ref="BC15:BE16"/>
    <mergeCell ref="BF15:BN16"/>
    <mergeCell ref="BO15:BQ16"/>
    <mergeCell ref="BR15:BT16"/>
    <mergeCell ref="BU15:BW16"/>
    <mergeCell ref="BX15:BZ16"/>
    <mergeCell ref="CA15:CC15"/>
    <mergeCell ref="CD15:CF15"/>
    <mergeCell ref="CK15:CK16"/>
    <mergeCell ref="CL15:CN16"/>
    <mergeCell ref="CO15:CQ16"/>
    <mergeCell ref="CR15:CT16"/>
    <mergeCell ref="CU15:CW16"/>
    <mergeCell ref="CX15:DF16"/>
    <mergeCell ref="DG15:DI16"/>
    <mergeCell ref="DJ15:DL16"/>
    <mergeCell ref="DM15:DO16"/>
    <mergeCell ref="DP15:DR16"/>
    <mergeCell ref="DS15:DU15"/>
    <mergeCell ref="DV15:DX15"/>
    <mergeCell ref="AI16:AK16"/>
    <mergeCell ref="AL16:AN16"/>
    <mergeCell ref="AO16:AQ16"/>
    <mergeCell ref="CA16:CC16"/>
    <mergeCell ref="CD16:CF16"/>
    <mergeCell ref="CG16:CI16"/>
    <mergeCell ref="DS16:DU16"/>
    <mergeCell ref="DV16:DX16"/>
    <mergeCell ref="DY16:EA16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T19:AV19"/>
    <mergeCell ref="AW19:AY19"/>
    <mergeCell ref="AZ19:BB19"/>
    <mergeCell ref="BC19:BE19"/>
    <mergeCell ref="BF19:BH19"/>
    <mergeCell ref="BI19:BK19"/>
    <mergeCell ref="BL19:BN19"/>
    <mergeCell ref="BO19:BQ19"/>
    <mergeCell ref="BR19:BT19"/>
    <mergeCell ref="BU19:BW19"/>
    <mergeCell ref="BX19:BZ19"/>
    <mergeCell ref="CA19:CC19"/>
    <mergeCell ref="CD19:CF19"/>
    <mergeCell ref="CG19:CI19"/>
    <mergeCell ref="A20:B20"/>
    <mergeCell ref="C20:E20"/>
    <mergeCell ref="F20:H20"/>
    <mergeCell ref="I20:K20"/>
    <mergeCell ref="L20:N20"/>
    <mergeCell ref="O20:Q20"/>
    <mergeCell ref="R20:T20"/>
    <mergeCell ref="U20:W20"/>
    <mergeCell ref="X20:Z20"/>
    <mergeCell ref="AA20:AC20"/>
    <mergeCell ref="AD20:AF20"/>
    <mergeCell ref="AG20:AI20"/>
    <mergeCell ref="AJ20:AL20"/>
    <mergeCell ref="AM20:AQ20"/>
    <mergeCell ref="AS20:AT20"/>
    <mergeCell ref="AU20:AW20"/>
    <mergeCell ref="AX20:AZ20"/>
    <mergeCell ref="BA20:BC20"/>
    <mergeCell ref="BD20:BF20"/>
    <mergeCell ref="BG20:BI20"/>
    <mergeCell ref="BJ20:BL20"/>
    <mergeCell ref="BM20:BO20"/>
    <mergeCell ref="BP20:BR20"/>
    <mergeCell ref="BS20:BU20"/>
    <mergeCell ref="BV20:BX20"/>
    <mergeCell ref="BY20:CA20"/>
    <mergeCell ref="CB20:CD20"/>
    <mergeCell ref="CE20:CI20"/>
    <mergeCell ref="A21:C21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Q21"/>
    <mergeCell ref="AS21:AU21"/>
    <mergeCell ref="AV21:AX21"/>
    <mergeCell ref="AY21:BA21"/>
    <mergeCell ref="BB21:BD21"/>
    <mergeCell ref="BE21:BG21"/>
    <mergeCell ref="BH21:BJ21"/>
    <mergeCell ref="BK21:BM21"/>
    <mergeCell ref="BN21:BP21"/>
    <mergeCell ref="BQ21:BS21"/>
    <mergeCell ref="BT21:BV21"/>
    <mergeCell ref="BW21:BY21"/>
    <mergeCell ref="BZ21:CB21"/>
    <mergeCell ref="CC21:CE21"/>
    <mergeCell ref="CF21:CI21"/>
    <mergeCell ref="A22:D22"/>
    <mergeCell ref="E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Q22"/>
    <mergeCell ref="AS22:AV22"/>
    <mergeCell ref="AW22:AY22"/>
    <mergeCell ref="AZ22:BB22"/>
    <mergeCell ref="BC22:BE22"/>
    <mergeCell ref="BF22:BH22"/>
    <mergeCell ref="BI22:BK22"/>
    <mergeCell ref="BL22:BN22"/>
    <mergeCell ref="BO22:BQ22"/>
    <mergeCell ref="BR22:BT22"/>
    <mergeCell ref="BU22:BW22"/>
    <mergeCell ref="BX22:BZ22"/>
    <mergeCell ref="CA22:CC22"/>
    <mergeCell ref="CD22:CI22"/>
    <mergeCell ref="A23:A24"/>
    <mergeCell ref="B23:D24"/>
    <mergeCell ref="E23:G24"/>
    <mergeCell ref="H23:J24"/>
    <mergeCell ref="K23:M24"/>
    <mergeCell ref="N23:V24"/>
    <mergeCell ref="W23:Y24"/>
    <mergeCell ref="Z23:AB24"/>
    <mergeCell ref="AC23:AE24"/>
    <mergeCell ref="AF23:AH24"/>
    <mergeCell ref="AI23:AK23"/>
    <mergeCell ref="AL23:AN23"/>
    <mergeCell ref="AS23:AS24"/>
    <mergeCell ref="AT23:AV24"/>
    <mergeCell ref="AW23:AY24"/>
    <mergeCell ref="AZ23:BB24"/>
    <mergeCell ref="BC23:BE24"/>
    <mergeCell ref="BF23:BN24"/>
    <mergeCell ref="BO23:BQ24"/>
    <mergeCell ref="BR23:BT24"/>
    <mergeCell ref="BU23:BW24"/>
    <mergeCell ref="BX23:BZ24"/>
    <mergeCell ref="CA23:CC23"/>
    <mergeCell ref="CD23:CF23"/>
    <mergeCell ref="AI24:AK24"/>
    <mergeCell ref="AL24:AN24"/>
    <mergeCell ref="AO24:AQ24"/>
    <mergeCell ref="CA24:CC24"/>
    <mergeCell ref="CD24:CF24"/>
    <mergeCell ref="CG24:CI24"/>
    <mergeCell ref="B27:D27"/>
    <mergeCell ref="E27:G27"/>
    <mergeCell ref="H27:J27"/>
    <mergeCell ref="K27:M27"/>
    <mergeCell ref="N27:P27"/>
    <mergeCell ref="Q27:S27"/>
    <mergeCell ref="T27:V27"/>
    <mergeCell ref="W27:Y27"/>
    <mergeCell ref="Z27:AB27"/>
    <mergeCell ref="AC27:AE27"/>
    <mergeCell ref="AF27:AH27"/>
    <mergeCell ref="AI27:AK27"/>
    <mergeCell ref="AL27:AN27"/>
    <mergeCell ref="AO27:AQ27"/>
    <mergeCell ref="AT27:AV27"/>
    <mergeCell ref="AW27:AY27"/>
    <mergeCell ref="AZ27:BB27"/>
    <mergeCell ref="BC27:BE27"/>
    <mergeCell ref="BF27:BH27"/>
    <mergeCell ref="BI27:BK27"/>
    <mergeCell ref="BL27:BN27"/>
    <mergeCell ref="BO27:BQ27"/>
    <mergeCell ref="BR27:BT27"/>
    <mergeCell ref="BU27:BW27"/>
    <mergeCell ref="BX27:BZ27"/>
    <mergeCell ref="CA27:CC27"/>
    <mergeCell ref="CD27:CF27"/>
    <mergeCell ref="CG27:CI27"/>
    <mergeCell ref="A28:B28"/>
    <mergeCell ref="C28:E28"/>
    <mergeCell ref="F28:H28"/>
    <mergeCell ref="I28:K28"/>
    <mergeCell ref="L28:N28"/>
    <mergeCell ref="O28:Q28"/>
    <mergeCell ref="R28:T28"/>
    <mergeCell ref="U28:W28"/>
    <mergeCell ref="X28:Z28"/>
    <mergeCell ref="AA28:AC28"/>
    <mergeCell ref="AD28:AF28"/>
    <mergeCell ref="AG28:AI28"/>
    <mergeCell ref="AJ28:AL28"/>
    <mergeCell ref="AM28:AQ28"/>
    <mergeCell ref="AS28:AT28"/>
    <mergeCell ref="AU28:AW28"/>
    <mergeCell ref="AX28:AZ28"/>
    <mergeCell ref="BA28:BC28"/>
    <mergeCell ref="BD28:BF28"/>
    <mergeCell ref="BG28:BI28"/>
    <mergeCell ref="BJ28:BL28"/>
    <mergeCell ref="BM28:BO28"/>
    <mergeCell ref="BP28:BR28"/>
    <mergeCell ref="BS28:BU28"/>
    <mergeCell ref="BV28:BX28"/>
    <mergeCell ref="BY28:CA28"/>
    <mergeCell ref="CB28:CD28"/>
    <mergeCell ref="CE28:CI28"/>
    <mergeCell ref="A29:C29"/>
    <mergeCell ref="D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AE29:AG29"/>
    <mergeCell ref="AH29:AJ29"/>
    <mergeCell ref="AK29:AM29"/>
    <mergeCell ref="AN29:AQ29"/>
    <mergeCell ref="AS29:AU29"/>
    <mergeCell ref="AV29:AX29"/>
    <mergeCell ref="AY29:BA29"/>
    <mergeCell ref="BB29:BD29"/>
    <mergeCell ref="BE29:BG29"/>
    <mergeCell ref="BH29:BJ29"/>
    <mergeCell ref="BK29:BM29"/>
    <mergeCell ref="BN29:BP29"/>
    <mergeCell ref="BQ29:BS29"/>
    <mergeCell ref="BT29:BV29"/>
    <mergeCell ref="BW29:BY29"/>
    <mergeCell ref="BZ29:CB29"/>
    <mergeCell ref="CC29:CE29"/>
    <mergeCell ref="CF29:CI29"/>
    <mergeCell ref="A30:D30"/>
    <mergeCell ref="E30:G30"/>
    <mergeCell ref="H30:J30"/>
    <mergeCell ref="K30:M30"/>
    <mergeCell ref="N30:P30"/>
    <mergeCell ref="Q30:S30"/>
    <mergeCell ref="T30:V30"/>
    <mergeCell ref="W30:Y30"/>
    <mergeCell ref="Z30:AB30"/>
    <mergeCell ref="AC30:AE30"/>
    <mergeCell ref="AF30:AH30"/>
    <mergeCell ref="AI30:AK30"/>
    <mergeCell ref="AL30:AQ30"/>
    <mergeCell ref="AS30:AV30"/>
    <mergeCell ref="AW30:AY30"/>
    <mergeCell ref="AZ30:BB30"/>
    <mergeCell ref="BC30:BE30"/>
    <mergeCell ref="BF30:BH30"/>
    <mergeCell ref="BI30:BK30"/>
    <mergeCell ref="BL30:BN30"/>
    <mergeCell ref="BO30:BQ30"/>
    <mergeCell ref="BR30:BT30"/>
    <mergeCell ref="BU30:BW30"/>
    <mergeCell ref="BX30:BZ30"/>
    <mergeCell ref="CA30:CC30"/>
    <mergeCell ref="CD30:CI30"/>
    <mergeCell ref="A31:A32"/>
    <mergeCell ref="B31:D32"/>
    <mergeCell ref="E31:G32"/>
    <mergeCell ref="H31:J32"/>
    <mergeCell ref="K31:M32"/>
    <mergeCell ref="N31:V32"/>
    <mergeCell ref="W31:Y32"/>
    <mergeCell ref="Z31:AB32"/>
    <mergeCell ref="AC31:AE32"/>
    <mergeCell ref="AF31:AH32"/>
    <mergeCell ref="AI31:AK31"/>
    <mergeCell ref="AL31:AN31"/>
    <mergeCell ref="AS31:AS32"/>
    <mergeCell ref="AT31:AV32"/>
    <mergeCell ref="AW31:AY32"/>
    <mergeCell ref="AZ31:BB32"/>
    <mergeCell ref="BC31:BE32"/>
    <mergeCell ref="BF31:BN32"/>
    <mergeCell ref="BO31:BQ32"/>
    <mergeCell ref="BR31:BT32"/>
    <mergeCell ref="BU31:BW32"/>
    <mergeCell ref="BX31:BZ32"/>
    <mergeCell ref="CA31:CC31"/>
    <mergeCell ref="CD31:CF31"/>
    <mergeCell ref="AI32:AK32"/>
    <mergeCell ref="AL32:AN32"/>
    <mergeCell ref="AO32:AQ32"/>
    <mergeCell ref="CA32:CC32"/>
    <mergeCell ref="CD32:CF32"/>
    <mergeCell ref="CG32:CI32"/>
    <mergeCell ref="B35:D35"/>
    <mergeCell ref="E35:G35"/>
    <mergeCell ref="H35:J35"/>
    <mergeCell ref="K35:M35"/>
    <mergeCell ref="N35:P35"/>
    <mergeCell ref="Q35:S35"/>
    <mergeCell ref="T35:V35"/>
    <mergeCell ref="W35:Y35"/>
    <mergeCell ref="Z35:AB35"/>
    <mergeCell ref="AC35:AE35"/>
    <mergeCell ref="AF35:AH35"/>
    <mergeCell ref="AI35:AK35"/>
    <mergeCell ref="AL35:AN35"/>
    <mergeCell ref="AO35:AQ35"/>
    <mergeCell ref="AT35:AV35"/>
    <mergeCell ref="AW35:AY35"/>
    <mergeCell ref="AZ35:BB35"/>
    <mergeCell ref="BC35:BE35"/>
    <mergeCell ref="BF35:BH35"/>
    <mergeCell ref="BI35:BK35"/>
    <mergeCell ref="BL35:BN35"/>
    <mergeCell ref="BO35:BQ35"/>
    <mergeCell ref="BR35:BT35"/>
    <mergeCell ref="BU35:BW35"/>
    <mergeCell ref="BX35:BZ35"/>
    <mergeCell ref="CA35:CC35"/>
    <mergeCell ref="CD35:CF35"/>
    <mergeCell ref="CG35:CI35"/>
    <mergeCell ref="A36:B36"/>
    <mergeCell ref="C36:E36"/>
    <mergeCell ref="F36:H36"/>
    <mergeCell ref="I36:K36"/>
    <mergeCell ref="L36:N36"/>
    <mergeCell ref="O36:Q36"/>
    <mergeCell ref="R36:T36"/>
    <mergeCell ref="U36:W36"/>
    <mergeCell ref="X36:Z36"/>
    <mergeCell ref="AA36:AC36"/>
    <mergeCell ref="AD36:AF36"/>
    <mergeCell ref="AG36:AI36"/>
    <mergeCell ref="AJ36:AL36"/>
    <mergeCell ref="AM36:AQ36"/>
    <mergeCell ref="AS36:AT36"/>
    <mergeCell ref="AU36:AW36"/>
    <mergeCell ref="AX36:AZ36"/>
    <mergeCell ref="BA36:BC36"/>
    <mergeCell ref="BD36:BF36"/>
    <mergeCell ref="BG36:BI36"/>
    <mergeCell ref="BJ36:BL36"/>
    <mergeCell ref="BM36:BO36"/>
    <mergeCell ref="BP36:BR36"/>
    <mergeCell ref="BS36:BU36"/>
    <mergeCell ref="BV36:BX36"/>
    <mergeCell ref="BY36:CA36"/>
    <mergeCell ref="CB36:CD36"/>
    <mergeCell ref="CE36:CI36"/>
    <mergeCell ref="A37:C37"/>
    <mergeCell ref="D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AE37:AG37"/>
    <mergeCell ref="AH37:AJ37"/>
    <mergeCell ref="AK37:AM37"/>
    <mergeCell ref="AN37:AQ37"/>
    <mergeCell ref="AS37:AU37"/>
    <mergeCell ref="AV37:AX37"/>
    <mergeCell ref="AY37:BA37"/>
    <mergeCell ref="BB37:BD37"/>
    <mergeCell ref="BE37:BG37"/>
    <mergeCell ref="BH37:BJ37"/>
    <mergeCell ref="BK37:BM37"/>
    <mergeCell ref="BN37:BP37"/>
    <mergeCell ref="BQ37:BS37"/>
    <mergeCell ref="BT37:BV37"/>
    <mergeCell ref="BW37:BY37"/>
    <mergeCell ref="BZ37:CB37"/>
    <mergeCell ref="CC37:CE37"/>
    <mergeCell ref="CF37:CI37"/>
    <mergeCell ref="A38:D38"/>
    <mergeCell ref="E38:G38"/>
    <mergeCell ref="H38:J38"/>
    <mergeCell ref="K38:M38"/>
    <mergeCell ref="N38:P38"/>
    <mergeCell ref="Q38:S38"/>
    <mergeCell ref="T38:V38"/>
    <mergeCell ref="W38:Y38"/>
    <mergeCell ref="Z38:AB38"/>
    <mergeCell ref="AC38:AE38"/>
    <mergeCell ref="AF38:AH38"/>
    <mergeCell ref="AI38:AK38"/>
    <mergeCell ref="AL38:AQ38"/>
    <mergeCell ref="AS38:AV38"/>
    <mergeCell ref="AW38:AY38"/>
    <mergeCell ref="AZ38:BB38"/>
    <mergeCell ref="BC38:BE38"/>
    <mergeCell ref="BF38:BH38"/>
    <mergeCell ref="BI38:BK38"/>
    <mergeCell ref="BL38:BN38"/>
    <mergeCell ref="BO38:BQ38"/>
    <mergeCell ref="BR38:BT38"/>
    <mergeCell ref="BU38:BW38"/>
    <mergeCell ref="BX38:BZ38"/>
    <mergeCell ref="CA38:CC38"/>
    <mergeCell ref="CD38:CI38"/>
    <mergeCell ref="A39:A40"/>
    <mergeCell ref="B39:D40"/>
    <mergeCell ref="E39:G40"/>
    <mergeCell ref="H39:J40"/>
    <mergeCell ref="K39:M40"/>
    <mergeCell ref="N39:V40"/>
    <mergeCell ref="W39:Y40"/>
    <mergeCell ref="Z39:AB40"/>
    <mergeCell ref="AC39:AE40"/>
    <mergeCell ref="AF39:AH40"/>
    <mergeCell ref="AI39:AK39"/>
    <mergeCell ref="AL39:AN39"/>
    <mergeCell ref="AS39:AS40"/>
    <mergeCell ref="AT39:AV40"/>
    <mergeCell ref="AW39:AY40"/>
    <mergeCell ref="AZ39:BB40"/>
    <mergeCell ref="BC39:BE40"/>
    <mergeCell ref="BF39:BN40"/>
    <mergeCell ref="BO39:BQ40"/>
    <mergeCell ref="BR39:BT40"/>
    <mergeCell ref="BU39:BW40"/>
    <mergeCell ref="BX39:BZ40"/>
    <mergeCell ref="CA39:CC39"/>
    <mergeCell ref="CD39:CF39"/>
    <mergeCell ref="AI40:AK40"/>
    <mergeCell ref="AL40:AN40"/>
    <mergeCell ref="AO40:AQ40"/>
    <mergeCell ref="CA40:CC40"/>
    <mergeCell ref="CD40:CF40"/>
    <mergeCell ref="CG40:CI40"/>
    <mergeCell ref="B43:D43"/>
    <mergeCell ref="E43:G43"/>
    <mergeCell ref="H43:J43"/>
    <mergeCell ref="K43:M43"/>
    <mergeCell ref="N43:P43"/>
    <mergeCell ref="Q43:S43"/>
    <mergeCell ref="T43:V43"/>
    <mergeCell ref="W43:Y43"/>
    <mergeCell ref="Z43:AB43"/>
    <mergeCell ref="AC43:AE43"/>
    <mergeCell ref="AF43:AH43"/>
    <mergeCell ref="AI43:AK43"/>
    <mergeCell ref="AL43:AN43"/>
    <mergeCell ref="AO43:AQ43"/>
    <mergeCell ref="AT43:AV43"/>
    <mergeCell ref="AW43:AY43"/>
    <mergeCell ref="AZ43:BB43"/>
    <mergeCell ref="BC43:BE43"/>
    <mergeCell ref="BF43:BH43"/>
    <mergeCell ref="BI43:BK43"/>
    <mergeCell ref="BL43:BN43"/>
    <mergeCell ref="BO43:BQ43"/>
    <mergeCell ref="BR43:BT43"/>
    <mergeCell ref="BU43:BW43"/>
    <mergeCell ref="BX43:BZ43"/>
    <mergeCell ref="CA43:CC43"/>
    <mergeCell ref="CD43:CF43"/>
    <mergeCell ref="CG43:CI43"/>
    <mergeCell ref="CL43:CN43"/>
    <mergeCell ref="CO43:CQ43"/>
    <mergeCell ref="CR43:CT43"/>
    <mergeCell ref="CU43:CW43"/>
    <mergeCell ref="CX43:CZ43"/>
    <mergeCell ref="DA43:DC43"/>
    <mergeCell ref="DD43:DF43"/>
    <mergeCell ref="DG43:DI43"/>
    <mergeCell ref="DJ43:DL43"/>
    <mergeCell ref="DM43:DO43"/>
    <mergeCell ref="DP43:DR43"/>
    <mergeCell ref="DS43:DU43"/>
    <mergeCell ref="DV43:DX43"/>
    <mergeCell ref="DY43:EA43"/>
    <mergeCell ref="A44:B44"/>
    <mergeCell ref="C44:E44"/>
    <mergeCell ref="F44:H44"/>
    <mergeCell ref="I44:K44"/>
    <mergeCell ref="L44:N44"/>
    <mergeCell ref="O44:Q44"/>
    <mergeCell ref="R44:T44"/>
    <mergeCell ref="U44:W44"/>
    <mergeCell ref="X44:Z44"/>
    <mergeCell ref="AA44:AC44"/>
    <mergeCell ref="AD44:AF44"/>
    <mergeCell ref="AG44:AI44"/>
    <mergeCell ref="AJ44:AL44"/>
    <mergeCell ref="AM44:AQ44"/>
    <mergeCell ref="AS44:AT44"/>
    <mergeCell ref="AU44:AW44"/>
    <mergeCell ref="AX44:AZ44"/>
    <mergeCell ref="BA44:BC44"/>
    <mergeCell ref="BD44:BF44"/>
    <mergeCell ref="BG44:BI44"/>
    <mergeCell ref="BJ44:BL44"/>
    <mergeCell ref="BM44:BO44"/>
    <mergeCell ref="BP44:BR44"/>
    <mergeCell ref="BS44:BU44"/>
    <mergeCell ref="BV44:BX44"/>
    <mergeCell ref="BY44:CA44"/>
    <mergeCell ref="CB44:CD44"/>
    <mergeCell ref="CE44:CI44"/>
    <mergeCell ref="CK44:CL44"/>
    <mergeCell ref="CM44:CO44"/>
    <mergeCell ref="CP44:CR44"/>
    <mergeCell ref="CS44:CU44"/>
    <mergeCell ref="CV44:CX44"/>
    <mergeCell ref="CY44:DA44"/>
    <mergeCell ref="DB44:DD44"/>
    <mergeCell ref="DE44:DG44"/>
    <mergeCell ref="DH44:DJ44"/>
    <mergeCell ref="DK44:DM44"/>
    <mergeCell ref="DN44:DP44"/>
    <mergeCell ref="DQ44:DS44"/>
    <mergeCell ref="DT44:DV44"/>
    <mergeCell ref="DW44:EA44"/>
    <mergeCell ref="A45:C45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Q45"/>
    <mergeCell ref="AS45:AU45"/>
    <mergeCell ref="AV45:AX45"/>
    <mergeCell ref="AY45:BA45"/>
    <mergeCell ref="BB45:BD45"/>
    <mergeCell ref="BE45:BG45"/>
    <mergeCell ref="BH45:BJ45"/>
    <mergeCell ref="BK45:BM45"/>
    <mergeCell ref="BN45:BP45"/>
    <mergeCell ref="BQ45:BS45"/>
    <mergeCell ref="BT45:BV45"/>
    <mergeCell ref="BW45:BY45"/>
    <mergeCell ref="BZ45:CB45"/>
    <mergeCell ref="CC45:CE45"/>
    <mergeCell ref="CF45:CI45"/>
    <mergeCell ref="CK45:CM45"/>
    <mergeCell ref="CN45:CP45"/>
    <mergeCell ref="CQ45:CS45"/>
    <mergeCell ref="CT45:CV45"/>
    <mergeCell ref="CW45:CY45"/>
    <mergeCell ref="CZ45:DB45"/>
    <mergeCell ref="DC45:DE45"/>
    <mergeCell ref="DF45:DH45"/>
    <mergeCell ref="DI45:DK45"/>
    <mergeCell ref="DL45:DN45"/>
    <mergeCell ref="DO45:DQ45"/>
    <mergeCell ref="DR45:DT45"/>
    <mergeCell ref="DU45:DW45"/>
    <mergeCell ref="DX45:EA45"/>
    <mergeCell ref="A46:D46"/>
    <mergeCell ref="E46:G46"/>
    <mergeCell ref="H46:J46"/>
    <mergeCell ref="K46:M46"/>
    <mergeCell ref="N46:P46"/>
    <mergeCell ref="Q46:S46"/>
    <mergeCell ref="T46:V46"/>
    <mergeCell ref="W46:Y46"/>
    <mergeCell ref="Z46:AB46"/>
    <mergeCell ref="AC46:AE46"/>
    <mergeCell ref="AF46:AH46"/>
    <mergeCell ref="AI46:AK46"/>
    <mergeCell ref="AL46:AQ46"/>
    <mergeCell ref="AS46:AV46"/>
    <mergeCell ref="AW46:AY46"/>
    <mergeCell ref="AZ46:BB46"/>
    <mergeCell ref="BC46:BE46"/>
    <mergeCell ref="BF46:BH46"/>
    <mergeCell ref="BI46:BK46"/>
    <mergeCell ref="BL46:BN46"/>
    <mergeCell ref="BO46:BQ46"/>
    <mergeCell ref="BR46:BT46"/>
    <mergeCell ref="BU46:BW46"/>
    <mergeCell ref="BX46:BZ46"/>
    <mergeCell ref="CA46:CC46"/>
    <mergeCell ref="CD46:CI46"/>
    <mergeCell ref="CK46:CN46"/>
    <mergeCell ref="CO46:CQ46"/>
    <mergeCell ref="CR46:CT46"/>
    <mergeCell ref="CU46:CW46"/>
    <mergeCell ref="CX46:CZ46"/>
    <mergeCell ref="DA46:DC46"/>
    <mergeCell ref="DD46:DF46"/>
    <mergeCell ref="DG46:DI46"/>
    <mergeCell ref="DJ46:DL46"/>
    <mergeCell ref="DM46:DO46"/>
    <mergeCell ref="DP46:DR46"/>
    <mergeCell ref="DS46:DU46"/>
    <mergeCell ref="DV46:EA46"/>
    <mergeCell ref="A47:A48"/>
    <mergeCell ref="B47:D48"/>
    <mergeCell ref="E47:G48"/>
    <mergeCell ref="H47:J48"/>
    <mergeCell ref="K47:M48"/>
    <mergeCell ref="N47:V48"/>
    <mergeCell ref="W47:Y48"/>
    <mergeCell ref="Z47:AB48"/>
    <mergeCell ref="AC47:AE48"/>
    <mergeCell ref="AF47:AH48"/>
    <mergeCell ref="AI47:AK47"/>
    <mergeCell ref="AL47:AN47"/>
    <mergeCell ref="AO47:AQ47"/>
    <mergeCell ref="AS47:AS48"/>
    <mergeCell ref="AT47:AV48"/>
    <mergeCell ref="AW47:AY48"/>
    <mergeCell ref="AZ47:BB48"/>
    <mergeCell ref="BC47:BE48"/>
    <mergeCell ref="BF47:BN48"/>
    <mergeCell ref="BO47:BQ48"/>
    <mergeCell ref="BR47:BT48"/>
    <mergeCell ref="BU47:BW48"/>
    <mergeCell ref="BX47:BZ48"/>
    <mergeCell ref="CA47:CC47"/>
    <mergeCell ref="CD47:CF47"/>
    <mergeCell ref="CK47:CK48"/>
    <mergeCell ref="CL47:CN48"/>
    <mergeCell ref="CO47:CQ48"/>
    <mergeCell ref="CR47:CT48"/>
    <mergeCell ref="CU47:CW48"/>
    <mergeCell ref="CX47:DF48"/>
    <mergeCell ref="DG47:DI48"/>
    <mergeCell ref="DJ47:DL48"/>
    <mergeCell ref="DM47:DO48"/>
    <mergeCell ref="DP47:DR48"/>
    <mergeCell ref="DS47:DU47"/>
    <mergeCell ref="DV47:DX47"/>
    <mergeCell ref="AI48:AK48"/>
    <mergeCell ref="AL48:AN48"/>
    <mergeCell ref="AO48:AQ48"/>
    <mergeCell ref="CA48:CC48"/>
    <mergeCell ref="CD48:CF48"/>
    <mergeCell ref="CG48:CI48"/>
    <mergeCell ref="DS48:DU48"/>
    <mergeCell ref="DV48:DX48"/>
    <mergeCell ref="DY48:EA48"/>
    <mergeCell ref="B51:D51"/>
    <mergeCell ref="E51:G51"/>
    <mergeCell ref="H51:J51"/>
    <mergeCell ref="K51:M51"/>
    <mergeCell ref="N51:P51"/>
    <mergeCell ref="Q51:S51"/>
    <mergeCell ref="T51:V51"/>
    <mergeCell ref="W51:Y51"/>
    <mergeCell ref="Z51:AB51"/>
    <mergeCell ref="AC51:AE51"/>
    <mergeCell ref="AF51:AH51"/>
    <mergeCell ref="AI51:AK51"/>
    <mergeCell ref="AL51:AN51"/>
    <mergeCell ref="AO51:AQ51"/>
    <mergeCell ref="AT51:AV51"/>
    <mergeCell ref="AW51:AY51"/>
    <mergeCell ref="AZ51:BB51"/>
    <mergeCell ref="BC51:BE51"/>
    <mergeCell ref="BF51:BH51"/>
    <mergeCell ref="BI51:BK51"/>
    <mergeCell ref="BL51:BN51"/>
    <mergeCell ref="BO51:BQ51"/>
    <mergeCell ref="BR51:BT51"/>
    <mergeCell ref="BU51:BW51"/>
    <mergeCell ref="BX51:BZ51"/>
    <mergeCell ref="CA51:CC51"/>
    <mergeCell ref="CD51:CF51"/>
    <mergeCell ref="CG51:CI51"/>
    <mergeCell ref="A52:B52"/>
    <mergeCell ref="C52:E52"/>
    <mergeCell ref="F52:H52"/>
    <mergeCell ref="I52:K52"/>
    <mergeCell ref="L52:N52"/>
    <mergeCell ref="O52:Q52"/>
    <mergeCell ref="R52:T52"/>
    <mergeCell ref="U52:W52"/>
    <mergeCell ref="X52:Z52"/>
    <mergeCell ref="AA52:AC52"/>
    <mergeCell ref="AD52:AF52"/>
    <mergeCell ref="AG52:AI52"/>
    <mergeCell ref="AJ52:AL52"/>
    <mergeCell ref="AM52:AQ52"/>
    <mergeCell ref="AS52:AT52"/>
    <mergeCell ref="AU52:AW52"/>
    <mergeCell ref="AX52:AZ52"/>
    <mergeCell ref="BA52:BC52"/>
    <mergeCell ref="BD52:BF52"/>
    <mergeCell ref="BG52:BI52"/>
    <mergeCell ref="BJ52:BL52"/>
    <mergeCell ref="BM52:BO52"/>
    <mergeCell ref="BP52:BR52"/>
    <mergeCell ref="BS52:BU52"/>
    <mergeCell ref="BV52:BX52"/>
    <mergeCell ref="BY52:CA52"/>
    <mergeCell ref="CB52:CD52"/>
    <mergeCell ref="CE52:CI52"/>
    <mergeCell ref="A53:C53"/>
    <mergeCell ref="D53:F53"/>
    <mergeCell ref="G53:I53"/>
    <mergeCell ref="J53:L53"/>
    <mergeCell ref="M53:O53"/>
    <mergeCell ref="P53:R53"/>
    <mergeCell ref="S53:U53"/>
    <mergeCell ref="V53:X53"/>
    <mergeCell ref="Y53:AA53"/>
    <mergeCell ref="AB53:AD53"/>
    <mergeCell ref="AE53:AG53"/>
    <mergeCell ref="AH53:AJ53"/>
    <mergeCell ref="AK53:AM53"/>
    <mergeCell ref="AN53:AQ53"/>
    <mergeCell ref="AS53:AU53"/>
    <mergeCell ref="AV53:AX53"/>
    <mergeCell ref="AY53:BA53"/>
    <mergeCell ref="BB53:BD53"/>
    <mergeCell ref="BE53:BG53"/>
    <mergeCell ref="BH53:BJ53"/>
    <mergeCell ref="BK53:BM53"/>
    <mergeCell ref="BN53:BP53"/>
    <mergeCell ref="BQ53:BS53"/>
    <mergeCell ref="BT53:BV53"/>
    <mergeCell ref="BW53:BY53"/>
    <mergeCell ref="BZ53:CB53"/>
    <mergeCell ref="CC53:CE53"/>
    <mergeCell ref="CF53:CI53"/>
    <mergeCell ref="A54:D54"/>
    <mergeCell ref="E54:G54"/>
    <mergeCell ref="H54:J54"/>
    <mergeCell ref="K54:M54"/>
    <mergeCell ref="N54:P54"/>
    <mergeCell ref="Q54:S54"/>
    <mergeCell ref="T54:V54"/>
    <mergeCell ref="W54:Y54"/>
    <mergeCell ref="Z54:AB54"/>
    <mergeCell ref="AC54:AE54"/>
    <mergeCell ref="AF54:AH54"/>
    <mergeCell ref="AI54:AK54"/>
    <mergeCell ref="AL54:AQ54"/>
    <mergeCell ref="AS54:AV54"/>
    <mergeCell ref="AW54:AY54"/>
    <mergeCell ref="AZ54:BB54"/>
    <mergeCell ref="BC54:BE54"/>
    <mergeCell ref="BF54:BH54"/>
    <mergeCell ref="BI54:BK54"/>
    <mergeCell ref="BL54:BN54"/>
    <mergeCell ref="BO54:BQ54"/>
    <mergeCell ref="BR54:BT54"/>
    <mergeCell ref="BU54:BW54"/>
    <mergeCell ref="BX54:BZ54"/>
    <mergeCell ref="CA54:CC54"/>
    <mergeCell ref="CD54:CI54"/>
    <mergeCell ref="A55:A56"/>
    <mergeCell ref="B55:D56"/>
    <mergeCell ref="E55:G56"/>
    <mergeCell ref="H55:J56"/>
    <mergeCell ref="K55:M56"/>
    <mergeCell ref="N55:V56"/>
    <mergeCell ref="W55:Y56"/>
    <mergeCell ref="Z55:AB56"/>
    <mergeCell ref="AC55:AE56"/>
    <mergeCell ref="AF55:AH56"/>
    <mergeCell ref="AI55:AK55"/>
    <mergeCell ref="AL55:AN55"/>
    <mergeCell ref="AO55:AQ55"/>
    <mergeCell ref="AS55:AS56"/>
    <mergeCell ref="AT55:AV56"/>
    <mergeCell ref="AW55:AY56"/>
    <mergeCell ref="AZ55:BB56"/>
    <mergeCell ref="BC55:BE56"/>
    <mergeCell ref="BF55:BN56"/>
    <mergeCell ref="BO55:BQ56"/>
    <mergeCell ref="BR55:BT56"/>
    <mergeCell ref="BU55:BW56"/>
    <mergeCell ref="BX55:BZ56"/>
    <mergeCell ref="CA55:CC55"/>
    <mergeCell ref="CD55:CF55"/>
    <mergeCell ref="AI56:AK56"/>
    <mergeCell ref="AL56:AN56"/>
    <mergeCell ref="AO56:AQ56"/>
    <mergeCell ref="CA56:CC56"/>
    <mergeCell ref="CD56:CF56"/>
    <mergeCell ref="CG56:CI5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3" activeCellId="1" sqref="AS19:CI24 J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6" min="2" style="1" width="7.31"/>
    <col collapsed="false" customWidth="true" hidden="false" outlineLevel="0" max="8" min="8" style="1" width="8.23"/>
    <col collapsed="false" customWidth="true" hidden="false" outlineLevel="0" max="9" min="9" style="1" width="9"/>
    <col collapsed="false" customWidth="true" hidden="false" outlineLevel="0" max="10" min="10" style="1" width="8.88"/>
    <col collapsed="false" customWidth="true" hidden="false" outlineLevel="0" max="11" min="11" style="1" width="8.82"/>
  </cols>
  <sheetData>
    <row r="1" customFormat="false" ht="13" hidden="false" customHeight="false" outlineLevel="0" collapsed="false">
      <c r="B1" s="120" t="s">
        <v>1</v>
      </c>
      <c r="C1" s="120" t="s">
        <v>2</v>
      </c>
      <c r="D1" s="120" t="s">
        <v>14</v>
      </c>
      <c r="E1" s="120" t="s">
        <v>11</v>
      </c>
      <c r="F1" s="120" t="s">
        <v>45</v>
      </c>
      <c r="G1" s="120" t="s">
        <v>27</v>
      </c>
      <c r="H1" s="120" t="s">
        <v>29</v>
      </c>
      <c r="I1" s="120" t="s">
        <v>31</v>
      </c>
      <c r="J1" s="120" t="s">
        <v>705</v>
      </c>
      <c r="L1" s="1" t="s">
        <v>706</v>
      </c>
    </row>
    <row r="2" customFormat="false" ht="13" hidden="false" customHeight="false" outlineLevel="0" collapsed="false">
      <c r="A2" s="121" t="s">
        <v>707</v>
      </c>
      <c r="B2" s="122" t="n">
        <v>0.0134</v>
      </c>
      <c r="C2" s="123" t="n">
        <v>0.065</v>
      </c>
      <c r="D2" s="123" t="n">
        <v>0.0554</v>
      </c>
      <c r="E2" s="122" t="n">
        <v>0.008</v>
      </c>
      <c r="F2" s="122" t="n">
        <v>0.0174</v>
      </c>
      <c r="G2" s="122" t="n">
        <v>0.0061</v>
      </c>
      <c r="H2" s="122" t="n">
        <v>0.0023</v>
      </c>
      <c r="I2" s="122" t="n">
        <v>0.0105</v>
      </c>
      <c r="J2" s="122" t="n">
        <v>0.1783</v>
      </c>
      <c r="M2" s="124"/>
    </row>
    <row r="3" customFormat="false" ht="15" hidden="false" customHeight="false" outlineLevel="0" collapsed="false">
      <c r="A3" s="120" t="s">
        <v>533</v>
      </c>
      <c r="B3" s="125" t="n">
        <v>0.0355</v>
      </c>
      <c r="C3" s="122" t="n">
        <v>0.0201</v>
      </c>
      <c r="D3" s="123" t="n">
        <v>0.0263</v>
      </c>
      <c r="E3" s="122" t="n">
        <v>0.0124</v>
      </c>
      <c r="F3" s="122" t="n">
        <v>0.0194</v>
      </c>
      <c r="G3" s="122" t="n">
        <v>0.0003</v>
      </c>
      <c r="H3" s="122" t="n">
        <v>0.0014</v>
      </c>
      <c r="I3" s="122" t="n">
        <v>0.0026</v>
      </c>
      <c r="J3" s="123" t="n">
        <v>0.118</v>
      </c>
      <c r="M3" s="25"/>
      <c r="N3" s="25" t="n">
        <v>1</v>
      </c>
      <c r="O3" s="25" t="n">
        <v>451475</v>
      </c>
      <c r="P3" s="126" t="s">
        <v>708</v>
      </c>
      <c r="Q3" s="127" t="n">
        <f aca="false">O3/O$84</f>
        <v>0.137848185173187</v>
      </c>
    </row>
    <row r="4" customFormat="false" ht="15" hidden="false" customHeight="false" outlineLevel="0" collapsed="false">
      <c r="A4" s="120" t="s">
        <v>527</v>
      </c>
      <c r="B4" s="122" t="n">
        <v>0.0148</v>
      </c>
      <c r="C4" s="128" t="n">
        <v>0.0358</v>
      </c>
      <c r="D4" s="123" t="n">
        <v>0.0267</v>
      </c>
      <c r="E4" s="122" t="n">
        <v>0.0102</v>
      </c>
      <c r="F4" s="122" t="n">
        <v>0.0108</v>
      </c>
      <c r="G4" s="122" t="n">
        <v>0.002</v>
      </c>
      <c r="H4" s="122" t="n">
        <v>0.0029</v>
      </c>
      <c r="I4" s="122" t="n">
        <v>0.005</v>
      </c>
      <c r="J4" s="122" t="n">
        <v>0.1082</v>
      </c>
      <c r="M4" s="25"/>
      <c r="N4" s="25" t="n">
        <v>2</v>
      </c>
      <c r="O4" s="25" t="n">
        <v>319316</v>
      </c>
      <c r="P4" s="126" t="s">
        <v>709</v>
      </c>
      <c r="Q4" s="127" t="n">
        <f aca="false">O4/O$84</f>
        <v>0.0974962757556041</v>
      </c>
    </row>
    <row r="5" customFormat="false" ht="15" hidden="false" customHeight="false" outlineLevel="0" collapsed="false">
      <c r="A5" s="120" t="s">
        <v>512</v>
      </c>
      <c r="B5" s="123" t="n">
        <v>0.0297</v>
      </c>
      <c r="C5" s="122" t="n">
        <v>0.0081</v>
      </c>
      <c r="D5" s="122" t="n">
        <v>0.0164</v>
      </c>
      <c r="E5" s="123" t="n">
        <v>0.0256</v>
      </c>
      <c r="F5" s="128" t="n">
        <v>0.0291</v>
      </c>
      <c r="G5" s="122" t="n">
        <v>0.0012</v>
      </c>
      <c r="H5" s="122" t="n">
        <v>0.0009</v>
      </c>
      <c r="I5" s="122" t="n">
        <v>0.0014</v>
      </c>
      <c r="J5" s="122" t="n">
        <v>0.1124</v>
      </c>
      <c r="M5" s="25"/>
      <c r="N5" s="25" t="n">
        <v>3</v>
      </c>
      <c r="O5" s="25" t="n">
        <v>259733</v>
      </c>
      <c r="P5" s="126" t="s">
        <v>710</v>
      </c>
      <c r="Q5" s="127" t="n">
        <f aca="false">O5/O$84</f>
        <v>0.0793038876562099</v>
      </c>
    </row>
    <row r="6" customFormat="false" ht="15" hidden="false" customHeight="false" outlineLevel="0" collapsed="false">
      <c r="A6" s="120" t="s">
        <v>546</v>
      </c>
      <c r="B6" s="122" t="n">
        <v>0.0229</v>
      </c>
      <c r="C6" s="122" t="n">
        <v>0.0221</v>
      </c>
      <c r="D6" s="122" t="n">
        <v>0.0003</v>
      </c>
      <c r="E6" s="122" t="n">
        <v>0.0061</v>
      </c>
      <c r="F6" s="125" t="n">
        <v>0.0276</v>
      </c>
      <c r="G6" s="122" t="n">
        <v>0.0002</v>
      </c>
      <c r="H6" s="122" t="n">
        <v>0.0015</v>
      </c>
      <c r="I6" s="122" t="n">
        <v>0</v>
      </c>
      <c r="J6" s="122" t="n">
        <v>0.0807</v>
      </c>
      <c r="M6" s="25"/>
      <c r="N6" s="25" t="n">
        <v>4</v>
      </c>
      <c r="O6" s="25" t="n">
        <v>251494</v>
      </c>
      <c r="P6" s="129" t="s">
        <v>711</v>
      </c>
      <c r="Q6" s="127" t="n">
        <f aca="false">O6/O$84</f>
        <v>0.0767882861331092</v>
      </c>
    </row>
    <row r="7" customFormat="false" ht="15" hidden="false" customHeight="false" outlineLevel="0" collapsed="false">
      <c r="A7" s="120" t="s">
        <v>531</v>
      </c>
      <c r="B7" s="130" t="n">
        <v>0.0203</v>
      </c>
      <c r="C7" s="122" t="n">
        <v>0.0036</v>
      </c>
      <c r="D7" s="122" t="n">
        <v>0.0047</v>
      </c>
      <c r="E7" s="122" t="n">
        <v>0.0026</v>
      </c>
      <c r="F7" s="122" t="n">
        <v>0.0054</v>
      </c>
      <c r="G7" s="122" t="n">
        <v>0</v>
      </c>
      <c r="H7" s="122" t="n">
        <v>0</v>
      </c>
      <c r="I7" s="122" t="n">
        <v>0.0006</v>
      </c>
      <c r="J7" s="122" t="n">
        <v>0.0372</v>
      </c>
      <c r="N7" s="25" t="n">
        <v>5</v>
      </c>
      <c r="O7" s="25" t="n">
        <v>225762</v>
      </c>
      <c r="P7" s="126" t="s">
        <v>712</v>
      </c>
      <c r="Q7" s="127" t="n">
        <f aca="false">O7/O$84</f>
        <v>0.068931573134878</v>
      </c>
    </row>
    <row r="8" customFormat="false" ht="15" hidden="false" customHeight="false" outlineLevel="0" collapsed="false">
      <c r="A8" s="120" t="s">
        <v>547</v>
      </c>
      <c r="B8" s="125" t="n">
        <v>0.0277</v>
      </c>
      <c r="C8" s="122" t="n">
        <v>0.007</v>
      </c>
      <c r="D8" s="122" t="n">
        <v>0.0024</v>
      </c>
      <c r="E8" s="122" t="n">
        <v>0.0067</v>
      </c>
      <c r="F8" s="122" t="n">
        <v>0.0154</v>
      </c>
      <c r="G8" s="122" t="n">
        <v>0</v>
      </c>
      <c r="H8" s="122" t="n">
        <v>0.0001</v>
      </c>
      <c r="I8" s="122" t="n">
        <v>0.0001</v>
      </c>
      <c r="J8" s="122" t="n">
        <v>0.0593</v>
      </c>
      <c r="N8" s="25" t="n">
        <v>6</v>
      </c>
      <c r="O8" s="25" t="n">
        <v>224159</v>
      </c>
      <c r="P8" s="126" t="s">
        <v>713</v>
      </c>
      <c r="Q8" s="127" t="n">
        <f aca="false">O8/O$84</f>
        <v>0.0684421315471209</v>
      </c>
    </row>
    <row r="9" customFormat="false" ht="13" hidden="false" customHeight="false" outlineLevel="0" collapsed="false">
      <c r="A9" s="120" t="s">
        <v>53</v>
      </c>
      <c r="B9" s="122" t="n">
        <v>0.0165</v>
      </c>
      <c r="C9" s="122" t="n">
        <v>0.0144</v>
      </c>
      <c r="D9" s="122" t="n">
        <v>0.0149</v>
      </c>
      <c r="E9" s="122" t="n">
        <v>0.0116</v>
      </c>
      <c r="F9" s="122" t="n">
        <v>0.0067</v>
      </c>
      <c r="G9" s="122" t="n">
        <v>0.0001</v>
      </c>
      <c r="H9" s="122" t="n">
        <v>0.0002</v>
      </c>
      <c r="I9" s="122" t="n">
        <v>0.0027</v>
      </c>
      <c r="J9" s="131" t="n">
        <v>0.0671</v>
      </c>
      <c r="N9" s="25" t="n">
        <v>7</v>
      </c>
      <c r="O9" s="25" t="n">
        <v>148361</v>
      </c>
      <c r="P9" s="126" t="s">
        <v>714</v>
      </c>
      <c r="Q9" s="127" t="n">
        <f aca="false">O9/O$84</f>
        <v>0.0452988417973956</v>
      </c>
    </row>
    <row r="10" customFormat="false" ht="13" hidden="false" customHeight="false" outlineLevel="0" collapsed="false">
      <c r="A10" s="120" t="s">
        <v>510</v>
      </c>
      <c r="B10" s="122" t="n">
        <v>0.0082</v>
      </c>
      <c r="C10" s="122" t="n">
        <v>0</v>
      </c>
      <c r="D10" s="132" t="s">
        <v>707</v>
      </c>
      <c r="E10" s="122" t="n">
        <v>0</v>
      </c>
      <c r="F10" s="122" t="n">
        <v>0.0109</v>
      </c>
      <c r="G10" s="132" t="s">
        <v>707</v>
      </c>
      <c r="H10" s="132" t="s">
        <v>707</v>
      </c>
      <c r="I10" s="132" t="s">
        <v>707</v>
      </c>
      <c r="J10" s="122" t="n">
        <v>0.0192</v>
      </c>
      <c r="N10" s="25" t="n">
        <v>8</v>
      </c>
      <c r="O10" s="25" t="n">
        <v>111487</v>
      </c>
      <c r="P10" s="126" t="s">
        <v>715</v>
      </c>
      <c r="Q10" s="127" t="n">
        <f aca="false">O10/O$84</f>
        <v>0.0340401586364762</v>
      </c>
    </row>
    <row r="11" customFormat="false" ht="13" hidden="false" customHeight="false" outlineLevel="0" collapsed="false">
      <c r="A11" s="120" t="s">
        <v>530</v>
      </c>
      <c r="B11" s="123" t="n">
        <v>0.0194</v>
      </c>
      <c r="C11" s="122" t="n">
        <v>0.0022</v>
      </c>
      <c r="D11" s="122" t="n">
        <v>0.002</v>
      </c>
      <c r="E11" s="122" t="n">
        <v>0.0023</v>
      </c>
      <c r="F11" s="122" t="n">
        <v>0.0088</v>
      </c>
      <c r="G11" s="122" t="n">
        <v>0.0001</v>
      </c>
      <c r="H11" s="122" t="n">
        <v>0</v>
      </c>
      <c r="I11" s="122" t="n">
        <v>0.0014</v>
      </c>
      <c r="J11" s="131" t="n">
        <v>0.0362</v>
      </c>
      <c r="N11" s="25" t="n">
        <v>9</v>
      </c>
      <c r="O11" s="25" t="n">
        <v>100695</v>
      </c>
      <c r="P11" s="126" t="s">
        <v>716</v>
      </c>
      <c r="Q11" s="127" t="n">
        <f aca="false">O11/O$84</f>
        <v>0.0307450534492808</v>
      </c>
    </row>
    <row r="12" customFormat="false" ht="13" hidden="false" customHeight="false" outlineLevel="0" collapsed="false">
      <c r="A12" s="120" t="s">
        <v>541</v>
      </c>
      <c r="B12" s="122" t="n">
        <v>0.0025</v>
      </c>
      <c r="C12" s="122" t="n">
        <v>0.0075</v>
      </c>
      <c r="D12" s="122" t="n">
        <v>0.0026</v>
      </c>
      <c r="E12" s="122" t="n">
        <v>0.0017</v>
      </c>
      <c r="F12" s="122" t="n">
        <v>0.0013</v>
      </c>
      <c r="G12" s="122" t="n">
        <v>0.0014</v>
      </c>
      <c r="H12" s="122" t="n">
        <v>0.0016</v>
      </c>
      <c r="I12" s="122" t="n">
        <v>0.0028</v>
      </c>
      <c r="J12" s="122" t="n">
        <v>0.0213</v>
      </c>
      <c r="N12" s="25" t="n">
        <v>10</v>
      </c>
      <c r="O12" s="25" t="n">
        <v>98928</v>
      </c>
      <c r="P12" s="126" t="s">
        <v>717</v>
      </c>
      <c r="Q12" s="127" t="n">
        <f aca="false">O12/O$84</f>
        <v>0.0302055379872928</v>
      </c>
    </row>
    <row r="13" customFormat="false" ht="13" hidden="false" customHeight="false" outlineLevel="0" collapsed="false">
      <c r="A13" s="120" t="s">
        <v>528</v>
      </c>
      <c r="B13" s="122" t="n">
        <v>0.015</v>
      </c>
      <c r="C13" s="122" t="n">
        <v>0</v>
      </c>
      <c r="D13" s="122" t="n">
        <v>0.0005</v>
      </c>
      <c r="E13" s="123" t="n">
        <v>0.0253</v>
      </c>
      <c r="F13" s="122" t="n">
        <v>0.0095</v>
      </c>
      <c r="G13" s="122" t="n">
        <v>0</v>
      </c>
      <c r="H13" s="122" t="n">
        <v>0</v>
      </c>
      <c r="I13" s="122" t="n">
        <v>0</v>
      </c>
      <c r="J13" s="131" t="n">
        <v>0.0504</v>
      </c>
      <c r="N13" s="25" t="n">
        <v>11</v>
      </c>
      <c r="O13" s="25" t="n">
        <v>87373</v>
      </c>
      <c r="P13" s="129" t="s">
        <v>718</v>
      </c>
      <c r="Q13" s="127" t="n">
        <f aca="false">O13/O$84</f>
        <v>0.0266774671535231</v>
      </c>
    </row>
    <row r="14" customFormat="false" ht="13" hidden="false" customHeight="false" outlineLevel="0" collapsed="false">
      <c r="A14" s="120" t="s">
        <v>545</v>
      </c>
      <c r="B14" s="122" t="n">
        <v>0.0066</v>
      </c>
      <c r="C14" s="122" t="n">
        <v>0.0029</v>
      </c>
      <c r="D14" s="122" t="n">
        <v>0.0044</v>
      </c>
      <c r="E14" s="122" t="n">
        <v>0.0013</v>
      </c>
      <c r="F14" s="122" t="n">
        <v>0.0018</v>
      </c>
      <c r="G14" s="122" t="n">
        <v>0</v>
      </c>
      <c r="H14" s="122" t="n">
        <v>0</v>
      </c>
      <c r="I14" s="122" t="n">
        <v>0.0001</v>
      </c>
      <c r="J14" s="122" t="n">
        <v>0.0171</v>
      </c>
      <c r="N14" s="25" t="n">
        <v>12</v>
      </c>
      <c r="O14" s="25" t="n">
        <v>80931</v>
      </c>
      <c r="P14" s="129" t="s">
        <v>719</v>
      </c>
      <c r="Q14" s="127" t="n">
        <f aca="false">O14/O$84</f>
        <v>0.0247105409474527</v>
      </c>
    </row>
    <row r="15" customFormat="false" ht="13" hidden="false" customHeight="false" outlineLevel="0" collapsed="false">
      <c r="A15" s="120" t="s">
        <v>517</v>
      </c>
      <c r="B15" s="122" t="n">
        <v>0.0017</v>
      </c>
      <c r="C15" s="122" t="n">
        <v>0.0006</v>
      </c>
      <c r="D15" s="122" t="n">
        <v>0.0015</v>
      </c>
      <c r="E15" s="122" t="n">
        <v>0.0008</v>
      </c>
      <c r="F15" s="122" t="n">
        <v>0.0011</v>
      </c>
      <c r="G15" s="122" t="n">
        <v>0</v>
      </c>
      <c r="H15" s="122" t="n">
        <v>0</v>
      </c>
      <c r="I15" s="122" t="n">
        <v>0.0001</v>
      </c>
      <c r="J15" s="122" t="n">
        <v>0.0058</v>
      </c>
      <c r="N15" s="25" t="n">
        <v>13</v>
      </c>
      <c r="O15" s="25" t="n">
        <v>67319</v>
      </c>
      <c r="P15" s="129" t="s">
        <v>720</v>
      </c>
      <c r="Q15" s="127" t="n">
        <f aca="false">O15/O$84</f>
        <v>0.0205544093862867</v>
      </c>
    </row>
    <row r="16" customFormat="false" ht="13" hidden="false" customHeight="false" outlineLevel="0" collapsed="false">
      <c r="A16" s="120" t="s">
        <v>721</v>
      </c>
      <c r="B16" s="122" t="n">
        <v>0.0005</v>
      </c>
      <c r="C16" s="122" t="n">
        <v>0.0001</v>
      </c>
      <c r="D16" s="122" t="n">
        <v>0.0001</v>
      </c>
      <c r="E16" s="122" t="n">
        <v>0.0004</v>
      </c>
      <c r="F16" s="122" t="n">
        <v>0.0001</v>
      </c>
      <c r="G16" s="122" t="n">
        <v>0</v>
      </c>
      <c r="H16" s="122" t="n">
        <v>0</v>
      </c>
      <c r="I16" s="122" t="n">
        <v>0</v>
      </c>
      <c r="J16" s="122" t="n">
        <v>0.0012</v>
      </c>
      <c r="N16" s="25" t="n">
        <v>14</v>
      </c>
      <c r="O16" s="25" t="n">
        <v>54449</v>
      </c>
      <c r="P16" s="129" t="s">
        <v>722</v>
      </c>
      <c r="Q16" s="127" t="n">
        <f aca="false">O16/O$84</f>
        <v>0.0166248315731654</v>
      </c>
    </row>
    <row r="17" customFormat="false" ht="13" hidden="false" customHeight="false" outlineLevel="0" collapsed="false">
      <c r="A17" s="120" t="s">
        <v>529</v>
      </c>
      <c r="B17" s="122" t="n">
        <v>0.0005</v>
      </c>
      <c r="C17" s="122" t="n">
        <v>0.0001</v>
      </c>
      <c r="D17" s="132" t="s">
        <v>707</v>
      </c>
      <c r="E17" s="122" t="n">
        <v>0</v>
      </c>
      <c r="F17" s="122" t="n">
        <v>0.0002</v>
      </c>
      <c r="G17" s="122" t="n">
        <v>0</v>
      </c>
      <c r="H17" s="122" t="n">
        <v>0</v>
      </c>
      <c r="I17" s="122" t="n">
        <v>0</v>
      </c>
      <c r="J17" s="122" t="n">
        <v>0.0009</v>
      </c>
      <c r="N17" s="25" t="n">
        <v>15</v>
      </c>
      <c r="O17" s="25" t="n">
        <v>52273</v>
      </c>
      <c r="P17" s="126" t="s">
        <v>723</v>
      </c>
      <c r="Q17" s="127" t="n">
        <f aca="false">O17/O$84</f>
        <v>0.0159604367541016</v>
      </c>
    </row>
    <row r="18" customFormat="false" ht="13" hidden="false" customHeight="false" outlineLevel="0" collapsed="false">
      <c r="A18" s="120" t="s">
        <v>544</v>
      </c>
      <c r="B18" s="122" t="n">
        <v>0</v>
      </c>
      <c r="C18" s="122" t="n">
        <v>0</v>
      </c>
      <c r="D18" s="122" t="n">
        <v>0</v>
      </c>
      <c r="E18" s="122" t="n">
        <v>0</v>
      </c>
      <c r="F18" s="122" t="n">
        <v>0</v>
      </c>
      <c r="G18" s="122" t="n">
        <v>0</v>
      </c>
      <c r="H18" s="122" t="n">
        <v>0</v>
      </c>
      <c r="I18" s="122" t="n">
        <v>0</v>
      </c>
      <c r="J18" s="122" t="n">
        <v>0</v>
      </c>
      <c r="N18" s="25" t="n">
        <v>16</v>
      </c>
      <c r="O18" s="25" t="n">
        <v>49986</v>
      </c>
      <c r="P18" s="129" t="s">
        <v>724</v>
      </c>
      <c r="Q18" s="127" t="n">
        <f aca="false">O18/O$84</f>
        <v>0.0152621504713814</v>
      </c>
    </row>
    <row r="19" customFormat="false" ht="13" hidden="false" customHeight="false" outlineLevel="0" collapsed="false">
      <c r="A19" s="120" t="s">
        <v>705</v>
      </c>
      <c r="B19" s="122" t="n">
        <v>0.2355</v>
      </c>
      <c r="C19" s="122" t="n">
        <v>0.1896</v>
      </c>
      <c r="D19" s="122" t="n">
        <v>0.158</v>
      </c>
      <c r="E19" s="122" t="n">
        <v>0.115</v>
      </c>
      <c r="F19" s="122" t="n">
        <v>0.1655</v>
      </c>
      <c r="G19" s="122" t="n">
        <v>0.0113</v>
      </c>
      <c r="H19" s="122" t="n">
        <v>0.0109</v>
      </c>
      <c r="I19" s="123" t="n">
        <v>0.0272</v>
      </c>
      <c r="J19" s="122" t="n">
        <v>0.9131</v>
      </c>
      <c r="N19" s="25" t="n">
        <v>17</v>
      </c>
      <c r="O19" s="25" t="n">
        <v>43585</v>
      </c>
      <c r="P19" s="129" t="s">
        <v>725</v>
      </c>
      <c r="Q19" s="127" t="n">
        <f aca="false">O19/O$84</f>
        <v>0.0133077427338687</v>
      </c>
    </row>
    <row r="20" customFormat="false" ht="13" hidden="false" customHeight="false" outlineLevel="0" collapsed="false">
      <c r="A20" s="120" t="s">
        <v>726</v>
      </c>
      <c r="B20" s="133" t="n">
        <v>0.0535</v>
      </c>
      <c r="C20" s="133"/>
      <c r="D20" s="133"/>
      <c r="E20" s="133"/>
      <c r="F20" s="133"/>
      <c r="G20" s="133"/>
      <c r="H20" s="133"/>
      <c r="I20" s="133"/>
      <c r="J20" s="133"/>
      <c r="N20" s="25" t="n">
        <v>18</v>
      </c>
      <c r="O20" s="25" t="n">
        <v>41395</v>
      </c>
      <c r="P20" s="129" t="s">
        <v>727</v>
      </c>
      <c r="Q20" s="127" t="n">
        <f aca="false">O20/O$84</f>
        <v>0.0126390733157851</v>
      </c>
    </row>
    <row r="21" customFormat="false" ht="13" hidden="false" customHeight="false" outlineLevel="0" collapsed="false">
      <c r="A21" s="120" t="s">
        <v>728</v>
      </c>
      <c r="B21" s="133" t="n">
        <v>0.0218</v>
      </c>
      <c r="C21" s="133"/>
      <c r="D21" s="133"/>
      <c r="E21" s="133"/>
      <c r="F21" s="133"/>
      <c r="G21" s="133"/>
      <c r="H21" s="133"/>
      <c r="I21" s="133"/>
      <c r="J21" s="133"/>
      <c r="N21" s="25" t="n">
        <v>19</v>
      </c>
      <c r="O21" s="25" t="n">
        <v>40532</v>
      </c>
      <c r="P21" s="129" t="s">
        <v>729</v>
      </c>
      <c r="Q21" s="127" t="n">
        <f aca="false">O21/O$84</f>
        <v>0.01237557481907</v>
      </c>
    </row>
    <row r="22" customFormat="false" ht="13" hidden="false" customHeight="false" outlineLevel="0" collapsed="false">
      <c r="A22" s="120" t="s">
        <v>394</v>
      </c>
      <c r="B22" s="133" t="n">
        <v>0.0116</v>
      </c>
      <c r="C22" s="133"/>
      <c r="D22" s="133"/>
      <c r="E22" s="133"/>
      <c r="F22" s="133"/>
      <c r="G22" s="133"/>
      <c r="H22" s="133"/>
      <c r="I22" s="133"/>
      <c r="J22" s="133"/>
      <c r="N22" s="25" t="n">
        <v>20</v>
      </c>
      <c r="O22" s="25" t="n">
        <v>38845</v>
      </c>
      <c r="P22" s="129" t="s">
        <v>730</v>
      </c>
      <c r="Q22" s="127" t="n">
        <f aca="false">O22/O$84</f>
        <v>0.0118604856371946</v>
      </c>
    </row>
    <row r="23" customFormat="false" ht="13" hidden="false" customHeight="false" outlineLevel="0" collapsed="false">
      <c r="B23" s="127" t="n">
        <f aca="false">B19-B2</f>
        <v>0.2221</v>
      </c>
      <c r="C23" s="127" t="n">
        <f aca="false">C19-C2</f>
        <v>0.1246</v>
      </c>
      <c r="D23" s="127" t="n">
        <f aca="false">D19-D2</f>
        <v>0.1026</v>
      </c>
      <c r="E23" s="127" t="n">
        <f aca="false">E19-E2</f>
        <v>0.107</v>
      </c>
      <c r="F23" s="127" t="n">
        <f aca="false">F19-F2</f>
        <v>0.1481</v>
      </c>
      <c r="G23" s="127" t="n">
        <f aca="false">SUM(G3:G15)</f>
        <v>0.0053</v>
      </c>
      <c r="H23" s="127" t="n">
        <f aca="false">SUM(H3:H15)</f>
        <v>0.0086</v>
      </c>
      <c r="I23" s="134" t="n">
        <f aca="false">SUM(I3:I15)</f>
        <v>0.0168</v>
      </c>
      <c r="N23" s="25" t="n">
        <v>21</v>
      </c>
      <c r="O23" s="25" t="n">
        <v>38420</v>
      </c>
      <c r="P23" s="129" t="s">
        <v>731</v>
      </c>
      <c r="Q23" s="127" t="n">
        <f aca="false">O23/O$84</f>
        <v>0.0117307210240962</v>
      </c>
    </row>
    <row r="24" customFormat="false" ht="13" hidden="false" customHeight="false" outlineLevel="0" collapsed="false">
      <c r="B24" s="129" t="s">
        <v>1</v>
      </c>
      <c r="E24" s="1" t="s">
        <v>5</v>
      </c>
      <c r="F24" s="1" t="s">
        <v>209</v>
      </c>
      <c r="N24" s="25" t="n">
        <v>22</v>
      </c>
      <c r="O24" s="25" t="n">
        <v>35216</v>
      </c>
      <c r="P24" s="129" t="s">
        <v>732</v>
      </c>
      <c r="Q24" s="127" t="n">
        <f aca="false">O24/O$84</f>
        <v>0.0107524485055849</v>
      </c>
    </row>
    <row r="25" customFormat="false" ht="13" hidden="false" customHeight="false" outlineLevel="0" collapsed="false">
      <c r="B25" s="1" t="n">
        <v>0</v>
      </c>
      <c r="E25" s="1" t="n">
        <v>2</v>
      </c>
      <c r="F25" s="1" t="n">
        <v>2</v>
      </c>
      <c r="J25" s="1" t="s">
        <v>11</v>
      </c>
      <c r="N25" s="25" t="n">
        <v>23</v>
      </c>
      <c r="O25" s="25" t="n">
        <v>31943</v>
      </c>
      <c r="P25" s="129" t="s">
        <v>733</v>
      </c>
      <c r="Q25" s="127" t="n">
        <f aca="false">O25/O$84</f>
        <v>0.00975310832047646</v>
      </c>
    </row>
    <row r="26" customFormat="false" ht="13" hidden="false" customHeight="false" outlineLevel="0" collapsed="false">
      <c r="H26" s="1" t="s">
        <v>1</v>
      </c>
      <c r="I26" s="1" t="s">
        <v>2</v>
      </c>
      <c r="J26" s="1" t="s">
        <v>14</v>
      </c>
      <c r="K26" s="1" t="s">
        <v>45</v>
      </c>
      <c r="N26" s="25" t="n">
        <v>24</v>
      </c>
      <c r="O26" s="25" t="n">
        <v>31866</v>
      </c>
      <c r="P26" s="129" t="s">
        <v>734</v>
      </c>
      <c r="Q26" s="127" t="n">
        <f aca="false">O26/O$84</f>
        <v>0.00972959802586804</v>
      </c>
    </row>
    <row r="27" customFormat="false" ht="13" hidden="false" customHeight="false" outlineLevel="0" collapsed="false">
      <c r="A27" s="7"/>
      <c r="B27" s="135" t="s">
        <v>1</v>
      </c>
      <c r="C27" s="135" t="s">
        <v>2</v>
      </c>
      <c r="D27" s="135" t="s">
        <v>14</v>
      </c>
      <c r="E27" s="135" t="s">
        <v>11</v>
      </c>
      <c r="F27" s="135" t="s">
        <v>45</v>
      </c>
      <c r="G27" s="7"/>
      <c r="I27" s="1" t="s">
        <v>735</v>
      </c>
      <c r="J27" s="1" t="s">
        <v>736</v>
      </c>
      <c r="K27" s="1" t="s">
        <v>737</v>
      </c>
      <c r="N27" s="25" t="n">
        <v>25</v>
      </c>
      <c r="O27" s="25" t="n">
        <v>30041</v>
      </c>
      <c r="P27" s="129" t="s">
        <v>738</v>
      </c>
      <c r="Q27" s="127" t="n">
        <f aca="false">O27/O$84</f>
        <v>0.0091723735107984</v>
      </c>
    </row>
    <row r="28" customFormat="false" ht="13" hidden="false" customHeight="false" outlineLevel="0" collapsed="false">
      <c r="A28" s="136" t="s">
        <v>707</v>
      </c>
      <c r="B28" s="137" t="n">
        <v>0.0134</v>
      </c>
      <c r="C28" s="137" t="n">
        <v>0.065</v>
      </c>
      <c r="D28" s="137" t="n">
        <v>0.0554</v>
      </c>
      <c r="E28" s="137" t="n">
        <v>0.008</v>
      </c>
      <c r="F28" s="137" t="n">
        <v>0.0174</v>
      </c>
      <c r="G28" s="138" t="n">
        <f aca="false">SUM(B28:F28)</f>
        <v>0.1592</v>
      </c>
      <c r="N28" s="25" t="n">
        <v>26</v>
      </c>
      <c r="O28" s="25" t="n">
        <v>26124</v>
      </c>
      <c r="P28" s="129" t="s">
        <v>739</v>
      </c>
      <c r="Q28" s="127" t="n">
        <f aca="false">O28/O$84</f>
        <v>0.00797640177078318</v>
      </c>
    </row>
    <row r="29" customFormat="false" ht="13" hidden="false" customHeight="false" outlineLevel="0" collapsed="false">
      <c r="A29" s="139" t="s">
        <v>533</v>
      </c>
      <c r="B29" s="140" t="n">
        <v>0.0355</v>
      </c>
      <c r="C29" s="140" t="n">
        <v>0.0201</v>
      </c>
      <c r="D29" s="140" t="n">
        <v>0.0263</v>
      </c>
      <c r="E29" s="137" t="n">
        <v>0.0124</v>
      </c>
      <c r="F29" s="140" t="n">
        <v>0.0194</v>
      </c>
      <c r="G29" s="141" t="n">
        <f aca="false">SUM(B29:F29)</f>
        <v>0.1137</v>
      </c>
      <c r="N29" s="25" t="n">
        <v>27</v>
      </c>
      <c r="O29" s="25" t="n">
        <v>26100</v>
      </c>
      <c r="P29" s="129" t="s">
        <v>740</v>
      </c>
      <c r="Q29" s="127" t="n">
        <f aca="false">O29/O$84</f>
        <v>0.00796907388674938</v>
      </c>
    </row>
    <row r="30" customFormat="false" ht="13" hidden="false" customHeight="false" outlineLevel="0" collapsed="false">
      <c r="A30" s="139" t="s">
        <v>527</v>
      </c>
      <c r="B30" s="137" t="n">
        <v>0.0148</v>
      </c>
      <c r="C30" s="137" t="n">
        <v>0.0358</v>
      </c>
      <c r="D30" s="137" t="n">
        <v>0.0267</v>
      </c>
      <c r="E30" s="137" t="n">
        <v>0.0102</v>
      </c>
      <c r="F30" s="137" t="n">
        <v>0.0108</v>
      </c>
      <c r="G30" s="141" t="n">
        <f aca="false">SUM(B30:F30)</f>
        <v>0.0983</v>
      </c>
      <c r="I30" s="127" t="n">
        <f aca="false">$G30</f>
        <v>0.0983</v>
      </c>
      <c r="N30" s="25" t="n">
        <v>28</v>
      </c>
      <c r="O30" s="25" t="n">
        <v>24037</v>
      </c>
      <c r="P30" s="129" t="s">
        <v>741</v>
      </c>
      <c r="Q30" s="127" t="n">
        <f aca="false">O30/O$84</f>
        <v>0.00733918118834463</v>
      </c>
    </row>
    <row r="31" customFormat="false" ht="13" hidden="false" customHeight="false" outlineLevel="0" collapsed="false">
      <c r="A31" s="139" t="s">
        <v>512</v>
      </c>
      <c r="B31" s="140" t="n">
        <v>0.0297</v>
      </c>
      <c r="C31" s="137" t="n">
        <v>0.0081</v>
      </c>
      <c r="D31" s="137" t="n">
        <v>0.0164</v>
      </c>
      <c r="E31" s="140" t="n">
        <v>0.0256</v>
      </c>
      <c r="F31" s="140" t="n">
        <v>0.0291</v>
      </c>
      <c r="G31" s="141" t="n">
        <f aca="false">SUM(B31:F31)</f>
        <v>0.1089</v>
      </c>
      <c r="K31" s="127" t="n">
        <f aca="false">$G31</f>
        <v>0.1089</v>
      </c>
      <c r="N31" s="25" t="n">
        <v>29</v>
      </c>
      <c r="O31" s="25" t="n">
        <v>20330</v>
      </c>
      <c r="P31" s="129" t="s">
        <v>742</v>
      </c>
      <c r="Q31" s="127" t="n">
        <f aca="false">O31/O$84</f>
        <v>0.0062073284336251</v>
      </c>
    </row>
    <row r="32" customFormat="false" ht="13" hidden="false" customHeight="false" outlineLevel="0" collapsed="false">
      <c r="A32" s="139" t="s">
        <v>546</v>
      </c>
      <c r="B32" s="140" t="n">
        <v>0.0229</v>
      </c>
      <c r="C32" s="140" t="n">
        <v>0.0221</v>
      </c>
      <c r="D32" s="137" t="n">
        <v>0.0003</v>
      </c>
      <c r="E32" s="137" t="n">
        <v>0.0061</v>
      </c>
      <c r="F32" s="140" t="n">
        <v>0.0276</v>
      </c>
      <c r="G32" s="142" t="n">
        <f aca="false">SUM(B32:F32)</f>
        <v>0.079</v>
      </c>
      <c r="N32" s="25" t="n">
        <v>30</v>
      </c>
      <c r="O32" s="25" t="n">
        <v>19807</v>
      </c>
      <c r="P32" s="129" t="s">
        <v>743</v>
      </c>
      <c r="Q32" s="127" t="n">
        <f aca="false">O32/O$84</f>
        <v>0.0060476416273887</v>
      </c>
    </row>
    <row r="33" customFormat="false" ht="13" hidden="false" customHeight="false" outlineLevel="0" collapsed="false">
      <c r="A33" s="139" t="s">
        <v>531</v>
      </c>
      <c r="B33" s="140" t="n">
        <v>0.0203</v>
      </c>
      <c r="C33" s="137" t="n">
        <v>0.0036</v>
      </c>
      <c r="D33" s="137" t="n">
        <v>0.0047</v>
      </c>
      <c r="E33" s="137" t="n">
        <v>0.0026</v>
      </c>
      <c r="F33" s="137" t="n">
        <v>0.0054</v>
      </c>
      <c r="G33" s="138" t="n">
        <f aca="false">SUM(B33:F33)</f>
        <v>0.0366</v>
      </c>
      <c r="N33" s="25" t="n">
        <v>31</v>
      </c>
      <c r="O33" s="25" t="n">
        <v>19567</v>
      </c>
      <c r="P33" s="129" t="s">
        <v>744</v>
      </c>
      <c r="Q33" s="127" t="n">
        <f aca="false">O33/O$84</f>
        <v>0.00597436278705077</v>
      </c>
    </row>
    <row r="34" customFormat="false" ht="13" hidden="false" customHeight="false" outlineLevel="0" collapsed="false">
      <c r="A34" s="139" t="s">
        <v>547</v>
      </c>
      <c r="B34" s="140" t="n">
        <v>0.0277</v>
      </c>
      <c r="C34" s="137" t="n">
        <v>0.007</v>
      </c>
      <c r="D34" s="137" t="n">
        <v>0.0024</v>
      </c>
      <c r="E34" s="137" t="n">
        <v>0.0067</v>
      </c>
      <c r="F34" s="137" t="n">
        <v>0.0154</v>
      </c>
      <c r="G34" s="142" t="n">
        <f aca="false">SUM(B34:F34)</f>
        <v>0.0592</v>
      </c>
      <c r="N34" s="25" t="n">
        <v>32</v>
      </c>
      <c r="O34" s="25" t="n">
        <v>18346</v>
      </c>
      <c r="P34" s="129" t="s">
        <v>745</v>
      </c>
      <c r="Q34" s="127" t="n">
        <f aca="false">O34/O$84</f>
        <v>0.00560155668683158</v>
      </c>
    </row>
    <row r="35" customFormat="false" ht="13" hidden="false" customHeight="false" outlineLevel="0" collapsed="false">
      <c r="A35" s="139" t="s">
        <v>53</v>
      </c>
      <c r="B35" s="137" t="n">
        <v>0.0165</v>
      </c>
      <c r="C35" s="137" t="n">
        <v>0.0144</v>
      </c>
      <c r="D35" s="137" t="n">
        <v>0.0149</v>
      </c>
      <c r="E35" s="137" t="n">
        <v>0.0116</v>
      </c>
      <c r="F35" s="137" t="n">
        <v>0.0067</v>
      </c>
      <c r="G35" s="141" t="n">
        <f aca="false">SUM(B35:F35)</f>
        <v>0.0641</v>
      </c>
      <c r="J35" s="127" t="n">
        <f aca="false">$G35</f>
        <v>0.0641</v>
      </c>
      <c r="N35" s="25" t="n">
        <v>33</v>
      </c>
      <c r="O35" s="25" t="n">
        <v>16905</v>
      </c>
      <c r="P35" s="129" t="s">
        <v>746</v>
      </c>
      <c r="Q35" s="127" t="n">
        <f aca="false">O35/O$84</f>
        <v>0.00516157831630262</v>
      </c>
    </row>
    <row r="36" customFormat="false" ht="13" hidden="false" customHeight="false" outlineLevel="0" collapsed="false">
      <c r="A36" s="139" t="s">
        <v>510</v>
      </c>
      <c r="B36" s="137" t="n">
        <v>0.0082</v>
      </c>
      <c r="C36" s="137" t="n">
        <v>0</v>
      </c>
      <c r="D36" s="143" t="s">
        <v>707</v>
      </c>
      <c r="E36" s="137" t="n">
        <v>0</v>
      </c>
      <c r="F36" s="137" t="n">
        <v>0.0109</v>
      </c>
      <c r="G36" s="138" t="n">
        <f aca="false">SUM(B36:F36)</f>
        <v>0.0191</v>
      </c>
      <c r="I36" s="127" t="n">
        <f aca="false">$G36</f>
        <v>0.0191</v>
      </c>
      <c r="J36" s="127"/>
      <c r="N36" s="25" t="n">
        <v>34</v>
      </c>
      <c r="O36" s="25" t="n">
        <v>16454</v>
      </c>
      <c r="P36" s="129" t="s">
        <v>747</v>
      </c>
      <c r="Q36" s="127" t="n">
        <f aca="false">O36/O$84</f>
        <v>0.0050238751621676</v>
      </c>
    </row>
    <row r="37" customFormat="false" ht="13" hidden="false" customHeight="false" outlineLevel="0" collapsed="false">
      <c r="A37" s="139" t="s">
        <v>530</v>
      </c>
      <c r="B37" s="144" t="n">
        <v>0.0194</v>
      </c>
      <c r="C37" s="137" t="n">
        <v>0.0022</v>
      </c>
      <c r="D37" s="137" t="n">
        <v>0.002</v>
      </c>
      <c r="E37" s="137" t="n">
        <v>0.0023</v>
      </c>
      <c r="F37" s="137" t="n">
        <v>0.0088</v>
      </c>
      <c r="G37" s="138" t="n">
        <f aca="false">SUM(B37:F37)</f>
        <v>0.0347</v>
      </c>
      <c r="K37" s="127" t="n">
        <f aca="false">$G37</f>
        <v>0.0347</v>
      </c>
      <c r="N37" s="25" t="n">
        <v>35</v>
      </c>
      <c r="O37" s="25" t="n">
        <v>15537</v>
      </c>
      <c r="P37" s="129" t="s">
        <v>748</v>
      </c>
      <c r="Q37" s="127" t="n">
        <f aca="false">O37/O$84</f>
        <v>0.00474388892637644</v>
      </c>
    </row>
    <row r="38" customFormat="false" ht="13" hidden="false" customHeight="false" outlineLevel="0" collapsed="false">
      <c r="A38" s="139" t="s">
        <v>541</v>
      </c>
      <c r="B38" s="137" t="n">
        <v>0.0025</v>
      </c>
      <c r="C38" s="137" t="n">
        <v>0.0075</v>
      </c>
      <c r="D38" s="137" t="n">
        <v>0.0026</v>
      </c>
      <c r="E38" s="137" t="n">
        <v>0.0017</v>
      </c>
      <c r="F38" s="137" t="n">
        <v>0.0013</v>
      </c>
      <c r="G38" s="138" t="n">
        <f aca="false">SUM(B38:F38)</f>
        <v>0.0156</v>
      </c>
      <c r="H38" s="127" t="n">
        <f aca="false">$G38</f>
        <v>0.0156</v>
      </c>
      <c r="L38" s="1" t="s">
        <v>209</v>
      </c>
      <c r="N38" s="25" t="n">
        <v>36</v>
      </c>
      <c r="O38" s="25" t="n">
        <v>13456</v>
      </c>
      <c r="P38" s="129" t="s">
        <v>749</v>
      </c>
      <c r="Q38" s="127" t="n">
        <f aca="false">O38/O$84</f>
        <v>0.00410850031494635</v>
      </c>
    </row>
    <row r="39" customFormat="false" ht="13" hidden="false" customHeight="false" outlineLevel="0" collapsed="false">
      <c r="A39" s="139" t="s">
        <v>528</v>
      </c>
      <c r="B39" s="137" t="n">
        <v>0.015</v>
      </c>
      <c r="C39" s="137" t="n">
        <v>0</v>
      </c>
      <c r="D39" s="137" t="n">
        <v>0.0005</v>
      </c>
      <c r="E39" s="140" t="n">
        <v>0.0253</v>
      </c>
      <c r="F39" s="137" t="n">
        <v>0.0095</v>
      </c>
      <c r="G39" s="142" t="n">
        <f aca="false">SUM(B39:F39)</f>
        <v>0.0503</v>
      </c>
      <c r="K39" s="127" t="n">
        <f aca="false">$G39</f>
        <v>0.0503</v>
      </c>
      <c r="N39" s="25" t="n">
        <v>37</v>
      </c>
      <c r="O39" s="25" t="n">
        <v>11569</v>
      </c>
      <c r="P39" s="129" t="s">
        <v>750</v>
      </c>
      <c r="Q39" s="127" t="n">
        <f aca="false">O39/O$84</f>
        <v>0.00353234543278941</v>
      </c>
    </row>
    <row r="40" customFormat="false" ht="13" hidden="false" customHeight="false" outlineLevel="0" collapsed="false">
      <c r="A40" s="139" t="s">
        <v>545</v>
      </c>
      <c r="B40" s="137" t="n">
        <v>0.0066</v>
      </c>
      <c r="C40" s="137" t="n">
        <v>0.0029</v>
      </c>
      <c r="D40" s="137" t="n">
        <v>0.0044</v>
      </c>
      <c r="E40" s="137" t="n">
        <v>0.0013</v>
      </c>
      <c r="F40" s="137" t="n">
        <v>0.0018</v>
      </c>
      <c r="G40" s="138" t="n">
        <f aca="false">SUM(B40:F40)</f>
        <v>0.017</v>
      </c>
      <c r="K40" s="127" t="n">
        <f aca="false">$G40</f>
        <v>0.017</v>
      </c>
      <c r="N40" s="25" t="n">
        <v>38</v>
      </c>
      <c r="O40" s="25" t="n">
        <v>10982</v>
      </c>
      <c r="P40" s="129" t="s">
        <v>751</v>
      </c>
      <c r="Q40" s="127" t="n">
        <f aca="false">O40/O$84</f>
        <v>0.0033531176024629</v>
      </c>
    </row>
    <row r="41" customFormat="false" ht="13" hidden="false" customHeight="false" outlineLevel="0" collapsed="false">
      <c r="A41" s="139" t="s">
        <v>517</v>
      </c>
      <c r="B41" s="137" t="n">
        <v>0.0017</v>
      </c>
      <c r="C41" s="137" t="n">
        <v>0.0006</v>
      </c>
      <c r="D41" s="137" t="n">
        <v>0.0015</v>
      </c>
      <c r="E41" s="137" t="n">
        <v>0.0008</v>
      </c>
      <c r="F41" s="137" t="n">
        <v>0.0011</v>
      </c>
      <c r="G41" s="138" t="n">
        <f aca="false">SUM(B41:F41)</f>
        <v>0.0057</v>
      </c>
      <c r="N41" s="25" t="n">
        <v>39</v>
      </c>
      <c r="O41" s="25" t="n">
        <v>10437</v>
      </c>
      <c r="P41" s="129" t="s">
        <v>752</v>
      </c>
      <c r="Q41" s="127" t="n">
        <f aca="false">O41/O$84</f>
        <v>0.00318671356919553</v>
      </c>
    </row>
    <row r="42" customFormat="false" ht="13" hidden="false" customHeight="false" outlineLevel="0" collapsed="false">
      <c r="A42" s="139" t="s">
        <v>721</v>
      </c>
      <c r="B42" s="137" t="n">
        <v>0.0005</v>
      </c>
      <c r="C42" s="137" t="n">
        <v>0.0001</v>
      </c>
      <c r="D42" s="137" t="n">
        <v>0.0001</v>
      </c>
      <c r="E42" s="137" t="n">
        <v>0.0004</v>
      </c>
      <c r="F42" s="137" t="n">
        <v>0.0001</v>
      </c>
      <c r="G42" s="138" t="n">
        <f aca="false">SUM(B42:F42)</f>
        <v>0.0012</v>
      </c>
      <c r="N42" s="25" t="n">
        <v>40</v>
      </c>
      <c r="O42" s="25" t="n">
        <v>9987</v>
      </c>
      <c r="P42" s="129" t="s">
        <v>753</v>
      </c>
      <c r="Q42" s="127" t="n">
        <f aca="false">O42/O$84</f>
        <v>0.00304931574356192</v>
      </c>
    </row>
    <row r="43" customFormat="false" ht="13" hidden="false" customHeight="false" outlineLevel="0" collapsed="false">
      <c r="A43" s="139" t="s">
        <v>529</v>
      </c>
      <c r="B43" s="137" t="n">
        <v>0.0005</v>
      </c>
      <c r="C43" s="137" t="n">
        <v>0.0001</v>
      </c>
      <c r="D43" s="143" t="s">
        <v>707</v>
      </c>
      <c r="E43" s="137" t="n">
        <v>0</v>
      </c>
      <c r="F43" s="137" t="n">
        <v>0.0002</v>
      </c>
      <c r="G43" s="138" t="n">
        <f aca="false">SUM(B43:F43)</f>
        <v>0.0008</v>
      </c>
      <c r="N43" s="25" t="n">
        <v>41</v>
      </c>
      <c r="O43" s="25" t="n">
        <v>8728</v>
      </c>
      <c r="P43" s="129" t="s">
        <v>754</v>
      </c>
      <c r="Q43" s="127" t="n">
        <f aca="false">O43/O$84</f>
        <v>0.00266490716028922</v>
      </c>
    </row>
    <row r="44" customFormat="false" ht="13" hidden="false" customHeight="false" outlineLevel="0" collapsed="false">
      <c r="A44" s="139" t="s">
        <v>544</v>
      </c>
      <c r="B44" s="137" t="n">
        <v>0</v>
      </c>
      <c r="C44" s="137" t="n">
        <v>0</v>
      </c>
      <c r="D44" s="137" t="n">
        <v>0</v>
      </c>
      <c r="E44" s="137" t="n">
        <v>0</v>
      </c>
      <c r="F44" s="137" t="n">
        <v>0</v>
      </c>
      <c r="G44" s="138" t="n">
        <f aca="false">SUM(B44:F44)</f>
        <v>0</v>
      </c>
      <c r="N44" s="25" t="n">
        <v>42</v>
      </c>
      <c r="O44" s="25" t="n">
        <v>7067</v>
      </c>
      <c r="P44" s="129" t="s">
        <v>755</v>
      </c>
      <c r="Q44" s="127" t="n">
        <f aca="false">O44/O$84</f>
        <v>0.00215775651945049</v>
      </c>
    </row>
    <row r="45" customFormat="false" ht="13" hidden="false" customHeight="false" outlineLevel="0" collapsed="false">
      <c r="A45" s="139" t="s">
        <v>705</v>
      </c>
      <c r="B45" s="137" t="n">
        <v>0.2355</v>
      </c>
      <c r="C45" s="137" t="n">
        <v>0.1896</v>
      </c>
      <c r="D45" s="137" t="n">
        <v>0.158</v>
      </c>
      <c r="E45" s="137" t="n">
        <v>0.115</v>
      </c>
      <c r="F45" s="137" t="n">
        <v>0.1655</v>
      </c>
      <c r="G45" s="138" t="n">
        <f aca="false">SUM(B45:F45)</f>
        <v>0.8636</v>
      </c>
      <c r="H45" s="127" t="n">
        <f aca="false">SUM(H28:H44)</f>
        <v>0.0156</v>
      </c>
      <c r="I45" s="127" t="n">
        <f aca="false">SUM(I28:I44)</f>
        <v>0.1174</v>
      </c>
      <c r="J45" s="127" t="n">
        <f aca="false">SUM(J28:J44)</f>
        <v>0.0641</v>
      </c>
      <c r="K45" s="127" t="n">
        <f aca="false">SUM(K28:K44)</f>
        <v>0.2109</v>
      </c>
      <c r="N45" s="25" t="n">
        <v>43</v>
      </c>
      <c r="O45" s="25" t="n">
        <v>6744</v>
      </c>
      <c r="P45" s="129" t="s">
        <v>756</v>
      </c>
      <c r="Q45" s="127" t="n">
        <f aca="false">O45/O$84</f>
        <v>0.0020591354134957</v>
      </c>
    </row>
    <row r="46" customFormat="false" ht="13" hidden="false" customHeight="false" outlineLevel="0" collapsed="false">
      <c r="N46" s="25" t="n">
        <v>44</v>
      </c>
      <c r="O46" s="25" t="n">
        <v>6421</v>
      </c>
      <c r="P46" s="129" t="s">
        <v>757</v>
      </c>
      <c r="Q46" s="127" t="n">
        <f aca="false">O46/O$84</f>
        <v>0.00196051430754091</v>
      </c>
    </row>
    <row r="47" customFormat="false" ht="13" hidden="false" customHeight="false" outlineLevel="0" collapsed="false">
      <c r="N47" s="25" t="n">
        <v>45</v>
      </c>
      <c r="O47" s="25" t="n">
        <v>6044</v>
      </c>
      <c r="P47" s="129" t="s">
        <v>758</v>
      </c>
      <c r="Q47" s="127" t="n">
        <f aca="false">O47/O$84</f>
        <v>0.00184540546251009</v>
      </c>
    </row>
    <row r="48" customFormat="false" ht="13" hidden="false" customHeight="false" outlineLevel="0" collapsed="false">
      <c r="B48" s="120" t="s">
        <v>526</v>
      </c>
      <c r="C48" s="120" t="s">
        <v>515</v>
      </c>
      <c r="D48" s="120" t="s">
        <v>514</v>
      </c>
      <c r="E48" s="120" t="s">
        <v>511</v>
      </c>
      <c r="F48" s="120" t="s">
        <v>516</v>
      </c>
      <c r="G48" s="120" t="s">
        <v>759</v>
      </c>
      <c r="H48" s="120" t="s">
        <v>760</v>
      </c>
      <c r="I48" s="120" t="s">
        <v>761</v>
      </c>
      <c r="N48" s="25" t="n">
        <v>46</v>
      </c>
      <c r="O48" s="25" t="n">
        <v>5652</v>
      </c>
      <c r="P48" s="129" t="s">
        <v>762</v>
      </c>
      <c r="Q48" s="127" t="n">
        <f aca="false">O48/O$84</f>
        <v>0.00172571668995814</v>
      </c>
    </row>
    <row r="49" customFormat="false" ht="13" hidden="false" customHeight="false" outlineLevel="0" collapsed="false">
      <c r="A49" s="120" t="s">
        <v>1</v>
      </c>
      <c r="B49" s="25" t="n">
        <v>54449</v>
      </c>
      <c r="C49" s="145" t="n">
        <v>451475</v>
      </c>
      <c r="D49" s="25" t="n">
        <v>24037</v>
      </c>
      <c r="E49" s="25" t="n">
        <v>49986</v>
      </c>
      <c r="F49" s="25" t="n">
        <v>40532</v>
      </c>
      <c r="G49" s="25" t="n">
        <v>16454</v>
      </c>
      <c r="H49" s="25" t="n">
        <v>5595</v>
      </c>
      <c r="I49" s="25" t="n">
        <v>19807</v>
      </c>
      <c r="J49" s="25"/>
      <c r="N49" s="25" t="n">
        <v>47</v>
      </c>
      <c r="O49" s="25" t="n">
        <v>5595</v>
      </c>
      <c r="P49" s="129" t="s">
        <v>763</v>
      </c>
      <c r="Q49" s="127" t="n">
        <f aca="false">O49/O$84</f>
        <v>0.00170831296537789</v>
      </c>
    </row>
    <row r="50" customFormat="false" ht="13" hidden="false" customHeight="false" outlineLevel="0" collapsed="false">
      <c r="A50" s="120" t="s">
        <v>2</v>
      </c>
      <c r="B50" s="25" t="n">
        <v>41395</v>
      </c>
      <c r="C50" s="25" t="n">
        <v>80931</v>
      </c>
      <c r="D50" s="25" t="n">
        <v>38845</v>
      </c>
      <c r="E50" s="25" t="n">
        <v>26100</v>
      </c>
      <c r="F50" s="25" t="n">
        <v>31943</v>
      </c>
      <c r="G50" s="25" t="n">
        <v>19567</v>
      </c>
      <c r="H50" s="25" t="n">
        <v>6744</v>
      </c>
      <c r="I50" s="25" t="n">
        <v>35216</v>
      </c>
      <c r="J50" s="25"/>
      <c r="N50" s="25" t="n">
        <v>48</v>
      </c>
      <c r="O50" s="25" t="n">
        <v>5559</v>
      </c>
      <c r="P50" s="129" t="s">
        <v>764</v>
      </c>
      <c r="Q50" s="127" t="n">
        <f aca="false">O50/O$84</f>
        <v>0.0016973211393272</v>
      </c>
    </row>
    <row r="51" customFormat="false" ht="13" hidden="false" customHeight="false" outlineLevel="0" collapsed="false">
      <c r="A51" s="120" t="s">
        <v>14</v>
      </c>
      <c r="B51" s="25" t="n">
        <v>10982</v>
      </c>
      <c r="C51" s="25" t="n">
        <v>67319</v>
      </c>
      <c r="D51" s="25" t="n">
        <v>26124</v>
      </c>
      <c r="E51" s="25" t="n">
        <v>16905</v>
      </c>
      <c r="F51" s="25" t="n">
        <v>15537</v>
      </c>
      <c r="G51" s="25" t="n">
        <v>9987</v>
      </c>
      <c r="H51" s="25" t="n">
        <v>2817</v>
      </c>
      <c r="I51" s="25" t="n">
        <v>43585</v>
      </c>
      <c r="J51" s="25"/>
      <c r="N51" s="25" t="n">
        <v>49</v>
      </c>
      <c r="O51" s="25" t="n">
        <v>5240</v>
      </c>
      <c r="P51" s="129" t="s">
        <v>765</v>
      </c>
      <c r="Q51" s="127" t="n">
        <f aca="false">O51/O$84</f>
        <v>0.00159992134737804</v>
      </c>
    </row>
    <row r="52" customFormat="false" ht="13" hidden="false" customHeight="false" outlineLevel="0" collapsed="false">
      <c r="A52" s="120" t="s">
        <v>11</v>
      </c>
      <c r="B52" s="25" t="n">
        <v>30041</v>
      </c>
      <c r="C52" s="145" t="n">
        <v>259733</v>
      </c>
      <c r="D52" s="25" t="n">
        <v>3063</v>
      </c>
      <c r="E52" s="25" t="n">
        <v>3658</v>
      </c>
      <c r="F52" s="25" t="n">
        <v>18346</v>
      </c>
      <c r="G52" s="25" t="n">
        <v>5652</v>
      </c>
      <c r="H52" s="25" t="n">
        <v>1612</v>
      </c>
      <c r="I52" s="25" t="n">
        <v>6421</v>
      </c>
      <c r="J52" s="25"/>
      <c r="N52" s="25" t="n">
        <v>50</v>
      </c>
      <c r="O52" s="25" t="n">
        <v>5114</v>
      </c>
      <c r="P52" s="129" t="s">
        <v>766</v>
      </c>
      <c r="Q52" s="127" t="n">
        <f aca="false">O52/O$84</f>
        <v>0.00156144995620063</v>
      </c>
    </row>
    <row r="53" customFormat="false" ht="13" hidden="false" customHeight="false" outlineLevel="0" collapsed="false">
      <c r="A53" s="120" t="s">
        <v>45</v>
      </c>
      <c r="B53" s="25" t="n">
        <v>38420</v>
      </c>
      <c r="C53" s="145" t="n">
        <v>111487</v>
      </c>
      <c r="D53" s="145" t="n">
        <v>319316</v>
      </c>
      <c r="E53" s="25" t="n">
        <v>20330</v>
      </c>
      <c r="F53" s="25" t="n">
        <v>87373</v>
      </c>
      <c r="G53" s="25" t="n">
        <v>13456</v>
      </c>
      <c r="H53" s="25" t="n">
        <v>5559</v>
      </c>
      <c r="I53" s="25" t="n">
        <v>31866</v>
      </c>
      <c r="J53" s="25"/>
      <c r="N53" s="25" t="n">
        <v>51</v>
      </c>
      <c r="O53" s="25" t="n">
        <v>4396</v>
      </c>
      <c r="P53" s="129" t="s">
        <v>767</v>
      </c>
      <c r="Q53" s="127" t="n">
        <f aca="false">O53/O$84</f>
        <v>0.00134222409218967</v>
      </c>
    </row>
    <row r="54" customFormat="false" ht="13" hidden="false" customHeight="false" outlineLevel="0" collapsed="false">
      <c r="A54" s="120" t="s">
        <v>27</v>
      </c>
      <c r="B54" s="25" t="n">
        <v>1533</v>
      </c>
      <c r="C54" s="25" t="n">
        <v>4396</v>
      </c>
      <c r="D54" s="25" t="n">
        <v>679</v>
      </c>
      <c r="E54" s="25" t="n">
        <v>384</v>
      </c>
      <c r="F54" s="25" t="n">
        <v>862</v>
      </c>
      <c r="G54" s="25" t="n">
        <v>727</v>
      </c>
      <c r="H54" s="25" t="n">
        <v>354</v>
      </c>
      <c r="I54" s="25" t="n">
        <v>363</v>
      </c>
      <c r="J54" s="25"/>
      <c r="N54" s="25" t="n">
        <v>52</v>
      </c>
      <c r="O54" s="25" t="n">
        <v>4014</v>
      </c>
      <c r="P54" s="129" t="s">
        <v>768</v>
      </c>
      <c r="Q54" s="127" t="n">
        <f aca="false">O54/O$84</f>
        <v>0.0012255886046518</v>
      </c>
    </row>
    <row r="55" customFormat="false" ht="13" hidden="false" customHeight="false" outlineLevel="0" collapsed="false">
      <c r="A55" s="120" t="s">
        <v>29</v>
      </c>
      <c r="B55" s="25" t="n">
        <v>542</v>
      </c>
      <c r="C55" s="25" t="n">
        <v>542</v>
      </c>
      <c r="D55" s="25" t="n">
        <v>98928</v>
      </c>
      <c r="E55" s="25" t="n">
        <v>923</v>
      </c>
      <c r="F55" s="25" t="n">
        <v>14</v>
      </c>
      <c r="G55" s="25" t="n">
        <v>107</v>
      </c>
      <c r="H55" s="25" t="n">
        <v>0</v>
      </c>
      <c r="I55" s="25" t="n">
        <v>506</v>
      </c>
      <c r="J55" s="25"/>
      <c r="N55" s="25" t="n">
        <v>53</v>
      </c>
      <c r="O55" s="25" t="n">
        <v>3658</v>
      </c>
      <c r="P55" s="129" t="s">
        <v>769</v>
      </c>
      <c r="Q55" s="127" t="n">
        <f aca="false">O55/O$84</f>
        <v>0.00111689165815055</v>
      </c>
    </row>
    <row r="56" customFormat="false" ht="13" hidden="false" customHeight="false" outlineLevel="0" collapsed="false">
      <c r="A56" s="120" t="s">
        <v>31</v>
      </c>
      <c r="B56" s="25" t="n">
        <v>152</v>
      </c>
      <c r="C56" s="25" t="n">
        <v>8728</v>
      </c>
      <c r="D56" s="25" t="n">
        <v>251494</v>
      </c>
      <c r="E56" s="25" t="n">
        <v>73</v>
      </c>
      <c r="F56" s="25" t="n">
        <v>551</v>
      </c>
      <c r="G56" s="25" t="n">
        <v>680</v>
      </c>
      <c r="H56" s="25" t="n">
        <v>923</v>
      </c>
      <c r="I56" s="25" t="n">
        <v>246</v>
      </c>
      <c r="J56" s="25"/>
      <c r="N56" s="25" t="n">
        <v>54</v>
      </c>
      <c r="O56" s="25" t="n">
        <v>3411</v>
      </c>
      <c r="P56" s="129" t="s">
        <v>770</v>
      </c>
      <c r="Q56" s="127" t="n">
        <f aca="false">O56/O$84</f>
        <v>0.00104147551830276</v>
      </c>
    </row>
    <row r="57" customFormat="false" ht="13" hidden="false" customHeight="false" outlineLevel="0" collapsed="false">
      <c r="A57" s="120" t="s">
        <v>13</v>
      </c>
      <c r="B57" s="25" t="n">
        <v>3411</v>
      </c>
      <c r="C57" s="25" t="n">
        <v>10437</v>
      </c>
      <c r="D57" s="25" t="n">
        <v>834</v>
      </c>
      <c r="E57" s="25" t="n">
        <v>4014</v>
      </c>
      <c r="F57" s="25" t="n">
        <v>2590</v>
      </c>
      <c r="G57" s="25" t="n">
        <v>5240</v>
      </c>
      <c r="H57" s="25" t="n">
        <v>1219</v>
      </c>
      <c r="I57" s="25" t="n">
        <v>5114</v>
      </c>
      <c r="J57" s="1" t="n">
        <f aca="false">SUM(B49:I57)</f>
        <v>2499231</v>
      </c>
      <c r="N57" s="25" t="n">
        <v>55</v>
      </c>
      <c r="O57" s="25" t="n">
        <v>3063</v>
      </c>
      <c r="P57" s="129" t="s">
        <v>771</v>
      </c>
      <c r="Q57" s="127" t="n">
        <f aca="false">O57/O$84</f>
        <v>0.000935221199812773</v>
      </c>
    </row>
    <row r="58" customFormat="false" ht="13" hidden="false" customHeight="false" outlineLevel="0" collapsed="false">
      <c r="N58" s="25" t="n">
        <v>56</v>
      </c>
      <c r="O58" s="25" t="n">
        <v>2817</v>
      </c>
      <c r="P58" s="129" t="s">
        <v>772</v>
      </c>
      <c r="Q58" s="127" t="n">
        <f aca="false">O58/O$84</f>
        <v>0.000860110388466399</v>
      </c>
    </row>
    <row r="59" customFormat="false" ht="13" hidden="false" customHeight="false" outlineLevel="0" collapsed="false">
      <c r="B59" s="120" t="s">
        <v>526</v>
      </c>
      <c r="C59" s="120" t="s">
        <v>515</v>
      </c>
      <c r="D59" s="120" t="s">
        <v>514</v>
      </c>
      <c r="E59" s="120" t="s">
        <v>511</v>
      </c>
      <c r="F59" s="120" t="s">
        <v>516</v>
      </c>
      <c r="G59" s="120" t="s">
        <v>759</v>
      </c>
      <c r="H59" s="120" t="s">
        <v>760</v>
      </c>
      <c r="I59" s="120" t="s">
        <v>761</v>
      </c>
      <c r="N59" s="25" t="n">
        <v>57</v>
      </c>
      <c r="O59" s="25" t="n">
        <v>2590</v>
      </c>
      <c r="P59" s="129" t="s">
        <v>773</v>
      </c>
      <c r="Q59" s="127" t="n">
        <f aca="false">O59/O$84</f>
        <v>0.000790800818646778</v>
      </c>
    </row>
    <row r="60" customFormat="false" ht="13" hidden="false" customHeight="false" outlineLevel="0" collapsed="false">
      <c r="A60" s="120" t="s">
        <v>1</v>
      </c>
      <c r="B60" s="122" t="n">
        <f aca="false">B49/$J$57</f>
        <v>0.021786301466331</v>
      </c>
      <c r="C60" s="123" t="n">
        <f aca="false">C49/$J$57</f>
        <v>0.180645566576279</v>
      </c>
      <c r="D60" s="122" t="n">
        <f aca="false">D49/$J$57</f>
        <v>0.00961775842249076</v>
      </c>
      <c r="E60" s="122" t="n">
        <f aca="false">E49/$J$57</f>
        <v>0.0200005521698474</v>
      </c>
      <c r="F60" s="122" t="n">
        <f aca="false">F49/$J$57</f>
        <v>0.0162177885917708</v>
      </c>
      <c r="G60" s="122" t="n">
        <f aca="false">G49/$J$57</f>
        <v>0.00658362512308786</v>
      </c>
      <c r="H60" s="122" t="n">
        <f aca="false">H49/$J$57</f>
        <v>0.0022386886206197</v>
      </c>
      <c r="I60" s="122" t="n">
        <f aca="false">I49/$J$57</f>
        <v>0.00792523780314825</v>
      </c>
      <c r="J60" s="25"/>
      <c r="N60" s="25" t="n">
        <v>58</v>
      </c>
      <c r="O60" s="25" t="n">
        <v>1612</v>
      </c>
      <c r="P60" s="129" t="s">
        <v>774</v>
      </c>
      <c r="Q60" s="127" t="n">
        <f aca="false">O60/O$84</f>
        <v>0.000492189544269732</v>
      </c>
    </row>
    <row r="61" customFormat="false" ht="13" hidden="false" customHeight="false" outlineLevel="0" collapsed="false">
      <c r="A61" s="120" t="s">
        <v>2</v>
      </c>
      <c r="B61" s="122" t="n">
        <f aca="false">B50/$J$57</f>
        <v>0.0165630948079629</v>
      </c>
      <c r="C61" s="122" t="n">
        <f aca="false">C50/$J$57</f>
        <v>0.0323823608141864</v>
      </c>
      <c r="D61" s="122" t="n">
        <f aca="false">D50/$J$57</f>
        <v>0.0155427809594231</v>
      </c>
      <c r="E61" s="122" t="n">
        <f aca="false">E50/$J$57</f>
        <v>0.0104432123321134</v>
      </c>
      <c r="F61" s="122" t="n">
        <f aca="false">F50/$J$57</f>
        <v>0.012781131476042</v>
      </c>
      <c r="G61" s="122" t="n">
        <f aca="false">G50/$J$57</f>
        <v>0.00782920826446215</v>
      </c>
      <c r="H61" s="122" t="n">
        <f aca="false">H50/$J$57</f>
        <v>0.00269843003707941</v>
      </c>
      <c r="I61" s="122" t="n">
        <f aca="false">I50/$J$57</f>
        <v>0.0140907343098737</v>
      </c>
      <c r="J61" s="25"/>
      <c r="N61" s="25" t="n">
        <v>59</v>
      </c>
      <c r="O61" s="25" t="n">
        <v>1533</v>
      </c>
      <c r="P61" s="129" t="s">
        <v>775</v>
      </c>
      <c r="Q61" s="127" t="n">
        <f aca="false">O61/O$84</f>
        <v>0.000468068592658498</v>
      </c>
    </row>
    <row r="62" customFormat="false" ht="13" hidden="false" customHeight="false" outlineLevel="0" collapsed="false">
      <c r="A62" s="120" t="s">
        <v>14</v>
      </c>
      <c r="B62" s="122" t="n">
        <f aca="false">B51/$J$57</f>
        <v>0.00439415164104479</v>
      </c>
      <c r="C62" s="122" t="n">
        <f aca="false">C51/$J$57</f>
        <v>0.0269358854783731</v>
      </c>
      <c r="D62" s="122" t="n">
        <f aca="false">D51/$J$57</f>
        <v>0.010452815285982</v>
      </c>
      <c r="E62" s="122" t="n">
        <f aca="false">E51/$J$57</f>
        <v>0.00676408063120216</v>
      </c>
      <c r="F62" s="122" t="n">
        <f aca="false">F51/$J$57</f>
        <v>0.00621671226069139</v>
      </c>
      <c r="G62" s="122" t="n">
        <f aca="false">G51/$J$57</f>
        <v>0.00399602917857533</v>
      </c>
      <c r="H62" s="122" t="n">
        <f aca="false">H51/$J$57</f>
        <v>0.0011271467103281</v>
      </c>
      <c r="I62" s="122" t="n">
        <f aca="false">I51/$J$57</f>
        <v>0.0174393643484736</v>
      </c>
      <c r="J62" s="25"/>
      <c r="N62" s="25" t="n">
        <v>60</v>
      </c>
      <c r="O62" s="25" t="n">
        <v>1219</v>
      </c>
      <c r="P62" s="129" t="s">
        <v>776</v>
      </c>
      <c r="Q62" s="127" t="n">
        <f aca="false">O62/O$84</f>
        <v>0.000372195443216379</v>
      </c>
    </row>
    <row r="63" customFormat="false" ht="13" hidden="false" customHeight="false" outlineLevel="0" collapsed="false">
      <c r="A63" s="120" t="s">
        <v>11</v>
      </c>
      <c r="B63" s="122" t="n">
        <f aca="false">B52/$J$57</f>
        <v>0.0120200973819547</v>
      </c>
      <c r="C63" s="123" t="n">
        <f aca="false">C52/$J$57</f>
        <v>0.103925167381487</v>
      </c>
      <c r="D63" s="122" t="n">
        <f aca="false">D52/$J$57</f>
        <v>0.00122557698748135</v>
      </c>
      <c r="E63" s="122" t="n">
        <f aca="false">E52/$J$57</f>
        <v>0.00146365021880731</v>
      </c>
      <c r="F63" s="122" t="n">
        <f aca="false">F52/$J$57</f>
        <v>0.00734065798639662</v>
      </c>
      <c r="G63" s="122" t="n">
        <f aca="false">G52/$J$57</f>
        <v>0.00226149563605765</v>
      </c>
      <c r="H63" s="122" t="n">
        <f aca="false">H52/$J$57</f>
        <v>0.000644998401508304</v>
      </c>
      <c r="I63" s="122" t="n">
        <f aca="false">I52/$J$57</f>
        <v>0.00256919028293103</v>
      </c>
      <c r="J63" s="25"/>
      <c r="N63" s="25" t="n">
        <v>61</v>
      </c>
      <c r="O63" s="25" t="n">
        <v>923</v>
      </c>
      <c r="P63" s="129" t="s">
        <v>777</v>
      </c>
      <c r="Q63" s="127" t="n">
        <f aca="false">O63/O$84</f>
        <v>0.000281818206799605</v>
      </c>
    </row>
    <row r="64" customFormat="false" ht="13" hidden="false" customHeight="false" outlineLevel="0" collapsed="false">
      <c r="A64" s="120" t="s">
        <v>45</v>
      </c>
      <c r="B64" s="122" t="n">
        <f aca="false">B53/$J$57</f>
        <v>0.0153727286513332</v>
      </c>
      <c r="C64" s="122" t="n">
        <f aca="false">C53/$J$57</f>
        <v>0.0446085215812384</v>
      </c>
      <c r="D64" s="123" t="n">
        <f aca="false">D53/$J$57</f>
        <v>0.127765700729544</v>
      </c>
      <c r="E64" s="122" t="n">
        <f aca="false">E53/$J$57</f>
        <v>0.00813450217286837</v>
      </c>
      <c r="F64" s="122" t="n">
        <f aca="false">F53/$J$57</f>
        <v>0.0349599536817525</v>
      </c>
      <c r="G64" s="122" t="n">
        <f aca="false">G53/$J$57</f>
        <v>0.00538405613566733</v>
      </c>
      <c r="H64" s="122" t="n">
        <f aca="false">H53/$J$57</f>
        <v>0.00222428418981679</v>
      </c>
      <c r="I64" s="122" t="n">
        <f aca="false">I53/$J$57</f>
        <v>0.0127503219990469</v>
      </c>
      <c r="J64" s="25"/>
      <c r="N64" s="25" t="n">
        <v>61</v>
      </c>
      <c r="O64" s="25" t="n">
        <v>923</v>
      </c>
      <c r="P64" s="129" t="s">
        <v>778</v>
      </c>
      <c r="Q64" s="127" t="n">
        <f aca="false">O64/O$84</f>
        <v>0.000281818206799605</v>
      </c>
    </row>
    <row r="65" customFormat="false" ht="13" hidden="false" customHeight="false" outlineLevel="0" collapsed="false">
      <c r="A65" s="120" t="s">
        <v>27</v>
      </c>
      <c r="B65" s="122" t="n">
        <f aca="false">B54/$J$57</f>
        <v>0.000613388678357463</v>
      </c>
      <c r="C65" s="122" t="n">
        <f aca="false">C54/$J$57</f>
        <v>0.00175894105026706</v>
      </c>
      <c r="D65" s="122" t="n">
        <f aca="false">D54/$J$57</f>
        <v>0.000271683569866091</v>
      </c>
      <c r="E65" s="122" t="n">
        <f aca="false">E54/$J$57</f>
        <v>0.00015364726189776</v>
      </c>
      <c r="F65" s="122" t="n">
        <f aca="false">F54/$J$57</f>
        <v>0.000344906093114242</v>
      </c>
      <c r="G65" s="122" t="n">
        <f aca="false">G54/$J$57</f>
        <v>0.000290889477603311</v>
      </c>
      <c r="H65" s="122" t="n">
        <f aca="false">H54/$J$57</f>
        <v>0.000141643569561997</v>
      </c>
      <c r="I65" s="122" t="n">
        <f aca="false">I54/$J$57</f>
        <v>0.000145244677262726</v>
      </c>
      <c r="J65" s="25"/>
      <c r="N65" s="25" t="n">
        <v>63</v>
      </c>
      <c r="O65" s="25" t="n">
        <v>862</v>
      </c>
      <c r="P65" s="129" t="s">
        <v>779</v>
      </c>
      <c r="Q65" s="127" t="n">
        <f aca="false">O65/O$84</f>
        <v>0.000263193168213715</v>
      </c>
    </row>
    <row r="66" customFormat="false" ht="13" hidden="false" customHeight="false" outlineLevel="0" collapsed="false">
      <c r="A66" s="120" t="s">
        <v>29</v>
      </c>
      <c r="B66" s="122" t="n">
        <f aca="false">B55/$J$57</f>
        <v>0.000216866708199442</v>
      </c>
      <c r="C66" s="122" t="n">
        <f aca="false">C55/$J$57</f>
        <v>0.000216866708199442</v>
      </c>
      <c r="D66" s="146" t="n">
        <f aca="false">D55/$J$57</f>
        <v>0.0395833758464104</v>
      </c>
      <c r="E66" s="122" t="n">
        <f aca="false">E55/$J$57</f>
        <v>0.000369313600863626</v>
      </c>
      <c r="F66" s="122" t="n">
        <f aca="false">F55/$J$57</f>
        <v>5.60172309002249E-006</v>
      </c>
      <c r="G66" s="122" t="n">
        <f aca="false">G55/$J$57</f>
        <v>4.28131693308862E-005</v>
      </c>
      <c r="H66" s="122" t="n">
        <f aca="false">H55/$J$57</f>
        <v>0</v>
      </c>
      <c r="I66" s="122" t="n">
        <f aca="false">I55/$J$57</f>
        <v>0.000202462277396527</v>
      </c>
      <c r="J66" s="25"/>
      <c r="N66" s="25" t="n">
        <v>64</v>
      </c>
      <c r="O66" s="25" t="n">
        <v>834</v>
      </c>
      <c r="P66" s="129" t="s">
        <v>780</v>
      </c>
      <c r="Q66" s="127" t="n">
        <f aca="false">O66/O$84</f>
        <v>0.000254643970174291</v>
      </c>
    </row>
    <row r="67" customFormat="false" ht="13" hidden="false" customHeight="false" outlineLevel="0" collapsed="false">
      <c r="A67" s="120" t="s">
        <v>31</v>
      </c>
      <c r="B67" s="122" t="n">
        <f aca="false">B56/$J$57</f>
        <v>6.08187078345299E-005</v>
      </c>
      <c r="C67" s="122" t="n">
        <f aca="false">C56/$J$57</f>
        <v>0.00349227422355116</v>
      </c>
      <c r="D67" s="123" t="n">
        <f aca="false">D56/$J$57</f>
        <v>0.100628553343008</v>
      </c>
      <c r="E67" s="122" t="n">
        <f aca="false">E56/$J$57</f>
        <v>2.92089846836887E-005</v>
      </c>
      <c r="F67" s="122" t="n">
        <f aca="false">F56/$J$57</f>
        <v>0.000220467815900171</v>
      </c>
      <c r="G67" s="122" t="n">
        <f aca="false">G56/$J$57</f>
        <v>0.00027208369294395</v>
      </c>
      <c r="H67" s="122" t="n">
        <f aca="false">H56/$J$57</f>
        <v>0.000369313600863626</v>
      </c>
      <c r="I67" s="122" t="n">
        <f aca="false">I56/$J$57</f>
        <v>9.84302771532523E-005</v>
      </c>
      <c r="J67" s="25"/>
      <c r="N67" s="25" t="n">
        <v>65</v>
      </c>
      <c r="O67" s="25" t="n">
        <v>727</v>
      </c>
      <c r="P67" s="129" t="s">
        <v>781</v>
      </c>
      <c r="Q67" s="127" t="n">
        <f aca="false">O67/O$84</f>
        <v>0.000221973820523632</v>
      </c>
    </row>
    <row r="68" customFormat="false" ht="13" hidden="false" customHeight="false" outlineLevel="0" collapsed="false">
      <c r="A68" s="120" t="s">
        <v>13</v>
      </c>
      <c r="B68" s="122" t="n">
        <f aca="false">B57/$J$57</f>
        <v>0.00136481981857619</v>
      </c>
      <c r="C68" s="122" t="n">
        <f aca="false">C57/$J$57</f>
        <v>0.00417608456361177</v>
      </c>
      <c r="D68" s="122" t="n">
        <f aca="false">D57/$J$57</f>
        <v>0.000333702646934197</v>
      </c>
      <c r="E68" s="122" t="n">
        <f aca="false">E57/$J$57</f>
        <v>0.00160609403452502</v>
      </c>
      <c r="F68" s="122" t="n">
        <f aca="false">F57/$J$57</f>
        <v>0.00103631877165416</v>
      </c>
      <c r="G68" s="122" t="n">
        <f aca="false">G57/$J$57</f>
        <v>0.00209664492797985</v>
      </c>
      <c r="H68" s="122" t="n">
        <f aca="false">H57/$J$57</f>
        <v>0.000487750031909815</v>
      </c>
      <c r="I68" s="122" t="n">
        <f aca="false">I57/$J$57</f>
        <v>0.00204622942016964</v>
      </c>
      <c r="N68" s="25" t="n">
        <v>66</v>
      </c>
      <c r="O68" s="25" t="n">
        <v>680</v>
      </c>
      <c r="P68" s="129" t="s">
        <v>782</v>
      </c>
      <c r="Q68" s="127" t="n">
        <f aca="false">O68/O$84</f>
        <v>0.000207623380957455</v>
      </c>
    </row>
    <row r="69" customFormat="false" ht="13" hidden="false" customHeight="false" outlineLevel="0" collapsed="false">
      <c r="N69" s="25" t="n">
        <v>67</v>
      </c>
      <c r="O69" s="25" t="n">
        <v>679</v>
      </c>
      <c r="P69" s="129" t="s">
        <v>783</v>
      </c>
      <c r="Q69" s="127" t="n">
        <f aca="false">O69/O$84</f>
        <v>0.000207318052456047</v>
      </c>
    </row>
    <row r="70" customFormat="false" ht="13" hidden="false" customHeight="false" outlineLevel="0" collapsed="false">
      <c r="B70" s="120" t="s">
        <v>1</v>
      </c>
      <c r="C70" s="120" t="s">
        <v>2</v>
      </c>
      <c r="D70" s="120" t="s">
        <v>14</v>
      </c>
      <c r="E70" s="120" t="s">
        <v>11</v>
      </c>
      <c r="F70" s="120" t="s">
        <v>45</v>
      </c>
      <c r="G70" s="120" t="s">
        <v>27</v>
      </c>
      <c r="H70" s="120" t="s">
        <v>29</v>
      </c>
      <c r="I70" s="120" t="s">
        <v>31</v>
      </c>
      <c r="J70" s="120" t="s">
        <v>13</v>
      </c>
      <c r="N70" s="25" t="n">
        <v>68</v>
      </c>
      <c r="O70" s="25" t="n">
        <v>551</v>
      </c>
      <c r="P70" s="129" t="s">
        <v>784</v>
      </c>
      <c r="Q70" s="127" t="n">
        <f aca="false">O70/O$84</f>
        <v>0.00016823600427582</v>
      </c>
    </row>
    <row r="71" customFormat="false" ht="13" hidden="false" customHeight="false" outlineLevel="0" collapsed="false">
      <c r="A71" s="120" t="s">
        <v>1</v>
      </c>
      <c r="B71" s="25" t="n">
        <v>724027</v>
      </c>
      <c r="C71" s="17" t="n">
        <v>455695</v>
      </c>
      <c r="D71" s="25" t="n">
        <v>395348</v>
      </c>
      <c r="E71" s="25" t="n">
        <v>328894</v>
      </c>
      <c r="F71" s="25" t="n">
        <v>315033</v>
      </c>
      <c r="G71" s="25" t="n">
        <v>6476</v>
      </c>
      <c r="H71" s="25" t="n">
        <v>11809</v>
      </c>
      <c r="I71" s="25" t="n">
        <v>25449</v>
      </c>
      <c r="J71" s="25" t="n">
        <v>225762</v>
      </c>
      <c r="N71" s="25" t="n">
        <v>69</v>
      </c>
      <c r="O71" s="25" t="n">
        <v>542</v>
      </c>
      <c r="P71" s="129" t="s">
        <v>785</v>
      </c>
      <c r="Q71" s="127" t="n">
        <f aca="false">O71/O$84</f>
        <v>0.000165488047763148</v>
      </c>
    </row>
    <row r="72" customFormat="false" ht="13" hidden="false" customHeight="false" outlineLevel="0" collapsed="false">
      <c r="A72" s="120" t="s">
        <v>2</v>
      </c>
      <c r="B72" s="25" t="n">
        <v>848757</v>
      </c>
      <c r="C72" s="25" t="n">
        <v>353284</v>
      </c>
      <c r="D72" s="25" t="n">
        <v>259214</v>
      </c>
      <c r="E72" s="25" t="n">
        <v>343886</v>
      </c>
      <c r="F72" s="25" t="n">
        <v>440492</v>
      </c>
      <c r="G72" s="25" t="n">
        <v>18599</v>
      </c>
      <c r="H72" s="25" t="n">
        <v>27163</v>
      </c>
      <c r="I72" s="25" t="n">
        <v>55149</v>
      </c>
      <c r="J72" s="25" t="n">
        <v>148361</v>
      </c>
      <c r="N72" s="25" t="n">
        <v>69</v>
      </c>
      <c r="O72" s="25" t="n">
        <v>542</v>
      </c>
      <c r="P72" s="129" t="s">
        <v>786</v>
      </c>
      <c r="Q72" s="127" t="n">
        <f aca="false">O72/O$84</f>
        <v>0.000165488047763148</v>
      </c>
    </row>
    <row r="73" customFormat="false" ht="13" hidden="false" customHeight="false" outlineLevel="0" collapsed="false">
      <c r="A73" s="120" t="s">
        <v>14</v>
      </c>
      <c r="B73" s="25" t="n">
        <v>464793</v>
      </c>
      <c r="C73" s="25" t="n">
        <v>333435</v>
      </c>
      <c r="D73" s="25" t="n">
        <v>198159</v>
      </c>
      <c r="E73" s="25" t="n">
        <v>232901</v>
      </c>
      <c r="F73" s="25" t="n">
        <v>432028</v>
      </c>
      <c r="G73" s="25" t="n">
        <v>17116</v>
      </c>
      <c r="H73" s="25" t="n">
        <v>23857</v>
      </c>
      <c r="I73" s="25" t="n">
        <v>58832</v>
      </c>
      <c r="J73" s="25" t="n">
        <v>52273</v>
      </c>
      <c r="N73" s="25" t="n">
        <v>71</v>
      </c>
      <c r="O73" s="25" t="n">
        <v>506</v>
      </c>
      <c r="P73" s="129" t="s">
        <v>787</v>
      </c>
      <c r="Q73" s="127" t="n">
        <f aca="false">O73/O$84</f>
        <v>0.000154496221712459</v>
      </c>
    </row>
    <row r="74" customFormat="false" ht="13" hidden="false" customHeight="false" outlineLevel="0" collapsed="false">
      <c r="A74" s="120" t="s">
        <v>11</v>
      </c>
      <c r="B74" s="25" t="n">
        <v>295963</v>
      </c>
      <c r="C74" s="25" t="n">
        <v>171418</v>
      </c>
      <c r="D74" s="25" t="n">
        <v>229327</v>
      </c>
      <c r="E74" s="25" t="n">
        <v>120235</v>
      </c>
      <c r="F74" s="25" t="n">
        <v>153852</v>
      </c>
      <c r="G74" s="25" t="n">
        <v>2937</v>
      </c>
      <c r="H74" s="25" t="n">
        <v>5471</v>
      </c>
      <c r="I74" s="25" t="n">
        <v>23791</v>
      </c>
      <c r="J74" s="25" t="n">
        <v>224159</v>
      </c>
      <c r="N74" s="25" t="n">
        <v>72</v>
      </c>
      <c r="O74" s="25" t="n">
        <v>384</v>
      </c>
      <c r="P74" s="129" t="s">
        <v>788</v>
      </c>
      <c r="Q74" s="127" t="n">
        <f aca="false">O74/O$84</f>
        <v>0.000117246144540681</v>
      </c>
    </row>
    <row r="75" customFormat="false" ht="13" hidden="false" customHeight="false" outlineLevel="0" collapsed="false">
      <c r="A75" s="120" t="s">
        <v>45</v>
      </c>
      <c r="B75" s="25" t="n">
        <v>411846</v>
      </c>
      <c r="C75" s="25" t="n">
        <v>338014</v>
      </c>
      <c r="D75" s="25" t="n">
        <v>189295</v>
      </c>
      <c r="E75" s="25" t="n">
        <v>226170</v>
      </c>
      <c r="F75" s="25" t="n">
        <v>546372</v>
      </c>
      <c r="G75" s="25" t="n">
        <v>8305</v>
      </c>
      <c r="H75" s="25" t="n">
        <v>19866</v>
      </c>
      <c r="I75" s="25" t="n">
        <v>36175</v>
      </c>
      <c r="J75" s="25" t="n">
        <v>100695</v>
      </c>
      <c r="N75" s="25" t="n">
        <v>73</v>
      </c>
      <c r="O75" s="25" t="n">
        <v>363</v>
      </c>
      <c r="P75" s="129" t="s">
        <v>789</v>
      </c>
      <c r="Q75" s="127" t="n">
        <f aca="false">O75/O$84</f>
        <v>0.000110834246011112</v>
      </c>
    </row>
    <row r="76" customFormat="false" ht="13" hidden="false" customHeight="false" outlineLevel="0" collapsed="false">
      <c r="A76" s="120" t="s">
        <v>27</v>
      </c>
      <c r="B76" s="25" t="n">
        <v>38262</v>
      </c>
      <c r="C76" s="25" t="n">
        <v>17056</v>
      </c>
      <c r="D76" s="25" t="n">
        <v>37603</v>
      </c>
      <c r="E76" s="25" t="n">
        <v>10954</v>
      </c>
      <c r="F76" s="25" t="n">
        <v>16819</v>
      </c>
      <c r="G76" s="25" t="n">
        <v>447</v>
      </c>
      <c r="H76" s="25" t="n">
        <v>1428</v>
      </c>
      <c r="I76" s="25" t="n">
        <v>2977</v>
      </c>
      <c r="J76" s="25" t="n">
        <v>6044</v>
      </c>
      <c r="N76" s="25" t="n">
        <v>74</v>
      </c>
      <c r="O76" s="25" t="n">
        <v>354</v>
      </c>
      <c r="P76" s="129" t="s">
        <v>790</v>
      </c>
      <c r="Q76" s="127" t="n">
        <f aca="false">O76/O$84</f>
        <v>0.00010808628949844</v>
      </c>
    </row>
    <row r="77" customFormat="false" ht="13" hidden="false" customHeight="false" outlineLevel="0" collapsed="false">
      <c r="A77" s="120" t="s">
        <v>29</v>
      </c>
      <c r="B77" s="25" t="n">
        <v>5094</v>
      </c>
      <c r="C77" s="25" t="n">
        <v>9258</v>
      </c>
      <c r="D77" s="25" t="n">
        <v>12374</v>
      </c>
      <c r="E77" s="25" t="n">
        <v>3489</v>
      </c>
      <c r="F77" s="25" t="n">
        <v>3975</v>
      </c>
      <c r="G77" s="25" t="n">
        <v>35</v>
      </c>
      <c r="H77" s="25" t="n">
        <v>1342</v>
      </c>
      <c r="I77" s="25" t="n">
        <v>1998</v>
      </c>
      <c r="J77" s="25" t="n">
        <v>7067</v>
      </c>
      <c r="N77" s="25" t="n">
        <v>75</v>
      </c>
      <c r="O77" s="25" t="n">
        <v>246</v>
      </c>
      <c r="P77" s="129" t="s">
        <v>791</v>
      </c>
      <c r="Q77" s="127" t="n">
        <f aca="false">O77/O$84</f>
        <v>7.51108113463735E-005</v>
      </c>
    </row>
    <row r="78" customFormat="false" ht="13" hidden="false" customHeight="false" outlineLevel="0" collapsed="false">
      <c r="A78" s="120" t="s">
        <v>31</v>
      </c>
      <c r="B78" s="25" t="n">
        <v>13732</v>
      </c>
      <c r="C78" s="25" t="n">
        <v>29231</v>
      </c>
      <c r="D78" s="25" t="n">
        <v>40660</v>
      </c>
      <c r="E78" s="25" t="n">
        <v>11376</v>
      </c>
      <c r="F78" s="25" t="n">
        <v>20049</v>
      </c>
      <c r="G78" s="25" t="n">
        <v>193</v>
      </c>
      <c r="H78" s="25" t="n">
        <v>941</v>
      </c>
      <c r="I78" s="25" t="n">
        <v>1418</v>
      </c>
      <c r="J78" s="25" t="n">
        <v>11569</v>
      </c>
      <c r="N78" s="25" t="n">
        <v>76</v>
      </c>
      <c r="O78" s="25" t="n">
        <v>152</v>
      </c>
      <c r="P78" s="129" t="s">
        <v>792</v>
      </c>
      <c r="Q78" s="127" t="n">
        <f aca="false">O78/O$84</f>
        <v>4.64099322140194E-005</v>
      </c>
    </row>
    <row r="79" customFormat="false" ht="13" hidden="false" customHeight="false" outlineLevel="0" collapsed="false">
      <c r="A79" s="120" t="s">
        <v>13</v>
      </c>
      <c r="B79" s="25" t="n">
        <v>203916</v>
      </c>
      <c r="C79" s="25" t="n">
        <v>105706</v>
      </c>
      <c r="D79" s="25" t="n">
        <v>38777</v>
      </c>
      <c r="E79" s="25" t="n">
        <v>112889</v>
      </c>
      <c r="F79" s="25" t="n">
        <v>168727</v>
      </c>
      <c r="G79" s="25" t="n">
        <v>12591</v>
      </c>
      <c r="H79" s="25" t="n">
        <v>19042</v>
      </c>
      <c r="I79" s="25" t="n">
        <v>28360</v>
      </c>
      <c r="J79" s="25" t="n">
        <v>0</v>
      </c>
      <c r="N79" s="25" t="n">
        <v>77</v>
      </c>
      <c r="O79" s="25" t="n">
        <v>107</v>
      </c>
      <c r="P79" s="129" t="s">
        <v>793</v>
      </c>
      <c r="Q79" s="127" t="n">
        <f aca="false">O79/O$84</f>
        <v>3.26701496506584E-005</v>
      </c>
    </row>
    <row r="80" customFormat="false" ht="13" hidden="false" customHeight="false" outlineLevel="0" collapsed="false">
      <c r="G80" s="1" t="n">
        <f aca="false">SUM(G71:G79)</f>
        <v>66699</v>
      </c>
      <c r="H80" s="1" t="n">
        <f aca="false">SUM(H71:H79)</f>
        <v>110919</v>
      </c>
      <c r="I80" s="147" t="n">
        <f aca="false">SUM(I71:I79)</f>
        <v>234149</v>
      </c>
      <c r="N80" s="25" t="n">
        <v>78</v>
      </c>
      <c r="O80" s="25" t="n">
        <v>73</v>
      </c>
      <c r="P80" s="129" t="s">
        <v>794</v>
      </c>
      <c r="Q80" s="127" t="n">
        <f aca="false">O80/O$84</f>
        <v>2.22889806027856E-005</v>
      </c>
    </row>
    <row r="81" customFormat="false" ht="13" hidden="false" customHeight="false" outlineLevel="0" collapsed="false">
      <c r="A81" s="1" t="s">
        <v>706</v>
      </c>
      <c r="N81" s="25" t="n">
        <v>79</v>
      </c>
      <c r="O81" s="25" t="n">
        <v>14</v>
      </c>
      <c r="P81" s="129" t="s">
        <v>795</v>
      </c>
      <c r="Q81" s="127" t="n">
        <f aca="false">O81/O$84</f>
        <v>4.27459901971231E-006</v>
      </c>
    </row>
    <row r="82" customFormat="false" ht="13" hidden="false" customHeight="false" outlineLevel="0" collapsed="false">
      <c r="N82" s="25" t="n">
        <v>80</v>
      </c>
      <c r="O82" s="25" t="n">
        <v>0</v>
      </c>
      <c r="P82" s="129" t="s">
        <v>796</v>
      </c>
      <c r="Q82" s="127" t="n">
        <f aca="false">O82/O$84</f>
        <v>0</v>
      </c>
    </row>
    <row r="83" customFormat="false" ht="13" hidden="false" customHeight="false" outlineLevel="0" collapsed="false">
      <c r="N83" s="25" t="n">
        <v>80</v>
      </c>
      <c r="O83" s="25" t="n">
        <v>0</v>
      </c>
      <c r="P83" s="129" t="s">
        <v>700</v>
      </c>
      <c r="Q83" s="127" t="n">
        <f aca="false">O83/O$84</f>
        <v>0</v>
      </c>
    </row>
    <row r="84" customFormat="false" ht="12.8" hidden="false" customHeight="false" outlineLevel="0" collapsed="false">
      <c r="O84" s="1" t="n">
        <f aca="false">SUM(O3:O83)</f>
        <v>3275161</v>
      </c>
    </row>
  </sheetData>
  <mergeCells count="3">
    <mergeCell ref="B20:J20"/>
    <mergeCell ref="B21:J21"/>
    <mergeCell ref="B22:J2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A24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Q22" activeCellId="1" sqref="AS19:CI24 Q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5" width="6.12"/>
    <col collapsed="false" customWidth="true" hidden="false" outlineLevel="0" max="33" min="2" style="25" width="2.04"/>
    <col collapsed="false" customWidth="true" hidden="false" outlineLevel="0" max="34" min="34" style="25" width="2.31"/>
    <col collapsed="false" customWidth="true" hidden="false" outlineLevel="0" max="43" min="35" style="25" width="2.04"/>
    <col collapsed="false" customWidth="true" hidden="false" outlineLevel="0" max="44" min="44" style="25" width="5.66"/>
    <col collapsed="false" customWidth="true" hidden="false" outlineLevel="0" max="45" min="45" style="25" width="6.12"/>
    <col collapsed="false" customWidth="true" hidden="false" outlineLevel="0" max="87" min="46" style="25" width="2.04"/>
    <col collapsed="false" customWidth="false" hidden="false" outlineLevel="0" max="88" min="88" style="25" width="11.53"/>
    <col collapsed="false" customWidth="true" hidden="false" outlineLevel="0" max="89" min="89" style="25" width="6.12"/>
    <col collapsed="false" customWidth="true" hidden="false" outlineLevel="0" max="131" min="90" style="25" width="2.04"/>
    <col collapsed="false" customWidth="true" hidden="false" outlineLevel="0" max="132" min="132" style="25" width="2.43"/>
  </cols>
  <sheetData>
    <row r="1" customFormat="false" ht="12.8" hidden="false" customHeight="true" outlineLevel="0" collapsed="false">
      <c r="A1" s="17" t="s">
        <v>437</v>
      </c>
      <c r="B1" s="17"/>
      <c r="C1" s="17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7"/>
      <c r="AS1" s="17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7"/>
    </row>
    <row r="2" customFormat="false" ht="19.85" hidden="false" customHeight="true" outlineLevel="0" collapsed="false">
      <c r="A2" s="29" t="s">
        <v>439</v>
      </c>
      <c r="B2" s="30" t="s">
        <v>440</v>
      </c>
      <c r="C2" s="30"/>
      <c r="D2" s="30" t="s">
        <v>441</v>
      </c>
      <c r="E2" s="30"/>
      <c r="F2" s="30" t="s">
        <v>442</v>
      </c>
      <c r="G2" s="30"/>
      <c r="H2" s="30" t="s">
        <v>443</v>
      </c>
      <c r="I2" s="30"/>
      <c r="J2" s="30" t="s">
        <v>444</v>
      </c>
      <c r="K2" s="30"/>
      <c r="L2" s="30" t="s">
        <v>445</v>
      </c>
      <c r="M2" s="30"/>
      <c r="N2" s="30" t="s">
        <v>446</v>
      </c>
      <c r="O2" s="30"/>
      <c r="P2" s="30" t="s">
        <v>447</v>
      </c>
      <c r="Q2" s="30"/>
      <c r="R2" s="30" t="s">
        <v>448</v>
      </c>
      <c r="S2" s="30"/>
      <c r="T2" s="30" t="s">
        <v>449</v>
      </c>
      <c r="U2" s="30"/>
      <c r="V2" s="30" t="s">
        <v>450</v>
      </c>
      <c r="W2" s="30"/>
      <c r="X2" s="30" t="s">
        <v>451</v>
      </c>
      <c r="Y2" s="30"/>
      <c r="Z2" s="31" t="s">
        <v>452</v>
      </c>
      <c r="AA2" s="31"/>
      <c r="AB2" s="32" t="s">
        <v>453</v>
      </c>
      <c r="AC2" s="32"/>
      <c r="AD2" s="32" t="s">
        <v>454</v>
      </c>
      <c r="AE2" s="32"/>
      <c r="AF2" s="30" t="s">
        <v>455</v>
      </c>
      <c r="AG2" s="30"/>
      <c r="AH2" s="30" t="s">
        <v>456</v>
      </c>
      <c r="AI2" s="30"/>
      <c r="AJ2" s="30" t="s">
        <v>457</v>
      </c>
      <c r="AK2" s="30"/>
      <c r="AL2" s="30" t="s">
        <v>458</v>
      </c>
      <c r="AM2" s="30"/>
      <c r="AN2" s="33" t="s">
        <v>459</v>
      </c>
      <c r="AO2" s="33"/>
      <c r="AP2" s="30" t="s">
        <v>460</v>
      </c>
      <c r="AQ2" s="30"/>
      <c r="AS2" s="34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1"/>
      <c r="BS2" s="31"/>
      <c r="BT2" s="32"/>
      <c r="BU2" s="32"/>
      <c r="BV2" s="32"/>
      <c r="BW2" s="32"/>
      <c r="BX2" s="30"/>
      <c r="BY2" s="30"/>
      <c r="BZ2" s="30"/>
      <c r="CA2" s="30"/>
      <c r="CB2" s="30"/>
      <c r="CC2" s="30"/>
      <c r="CD2" s="30"/>
      <c r="CE2" s="30"/>
      <c r="CF2" s="33"/>
      <c r="CG2" s="33"/>
      <c r="CH2" s="30"/>
      <c r="CI2" s="30"/>
      <c r="CK2" s="29" t="s">
        <v>439</v>
      </c>
      <c r="CL2" s="30" t="s">
        <v>440</v>
      </c>
      <c r="CM2" s="30"/>
      <c r="CN2" s="30" t="s">
        <v>441</v>
      </c>
      <c r="CO2" s="30"/>
      <c r="CP2" s="30" t="s">
        <v>442</v>
      </c>
      <c r="CQ2" s="30"/>
      <c r="CR2" s="30" t="s">
        <v>443</v>
      </c>
      <c r="CS2" s="30"/>
      <c r="CT2" s="30" t="s">
        <v>444</v>
      </c>
      <c r="CU2" s="30"/>
      <c r="CV2" s="30" t="s">
        <v>445</v>
      </c>
      <c r="CW2" s="30"/>
      <c r="CX2" s="30" t="s">
        <v>446</v>
      </c>
      <c r="CY2" s="30"/>
      <c r="CZ2" s="30" t="s">
        <v>447</v>
      </c>
      <c r="DA2" s="30"/>
      <c r="DB2" s="30" t="s">
        <v>448</v>
      </c>
      <c r="DC2" s="30"/>
      <c r="DD2" s="30" t="s">
        <v>449</v>
      </c>
      <c r="DE2" s="30"/>
      <c r="DF2" s="30" t="s">
        <v>450</v>
      </c>
      <c r="DG2" s="30"/>
      <c r="DH2" s="30" t="s">
        <v>451</v>
      </c>
      <c r="DI2" s="30"/>
      <c r="DJ2" s="31" t="s">
        <v>452</v>
      </c>
      <c r="DK2" s="31"/>
      <c r="DL2" s="32" t="s">
        <v>453</v>
      </c>
      <c r="DM2" s="32"/>
      <c r="DN2" s="32" t="s">
        <v>454</v>
      </c>
      <c r="DO2" s="32"/>
      <c r="DP2" s="30" t="s">
        <v>455</v>
      </c>
      <c r="DQ2" s="30"/>
      <c r="DR2" s="30" t="s">
        <v>456</v>
      </c>
      <c r="DS2" s="30"/>
      <c r="DT2" s="30" t="s">
        <v>457</v>
      </c>
      <c r="DU2" s="30"/>
      <c r="DV2" s="30" t="s">
        <v>458</v>
      </c>
      <c r="DW2" s="30"/>
      <c r="DX2" s="33" t="s">
        <v>459</v>
      </c>
      <c r="DY2" s="33"/>
      <c r="DZ2" s="30" t="s">
        <v>460</v>
      </c>
      <c r="EA2" s="30"/>
    </row>
    <row r="3" customFormat="false" ht="25.5" hidden="false" customHeight="true" outlineLevel="0" collapsed="false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S3" s="63" t="s">
        <v>461</v>
      </c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3"/>
      <c r="BI3" s="63"/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3"/>
      <c r="CA3" s="63"/>
      <c r="CB3" s="63"/>
      <c r="CC3" s="63"/>
      <c r="CD3" s="63"/>
      <c r="CE3" s="63"/>
      <c r="CF3" s="63"/>
      <c r="CG3" s="37" t="s">
        <v>465</v>
      </c>
      <c r="CH3" s="37"/>
      <c r="CI3" s="37"/>
      <c r="CK3" s="34" t="s">
        <v>461</v>
      </c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29" t="s">
        <v>465</v>
      </c>
      <c r="DZ3" s="29"/>
      <c r="EA3" s="29"/>
    </row>
    <row r="4" customFormat="false" ht="25.5" hidden="false" customHeight="true" outlineLevel="0" collapsed="false">
      <c r="A4" s="63"/>
      <c r="B4" s="63"/>
      <c r="C4" s="63" t="s">
        <v>797</v>
      </c>
      <c r="D4" s="63"/>
      <c r="E4" s="63"/>
      <c r="F4" s="37" t="s">
        <v>723</v>
      </c>
      <c r="G4" s="37"/>
      <c r="H4" s="37"/>
      <c r="I4" s="37" t="s">
        <v>716</v>
      </c>
      <c r="J4" s="37"/>
      <c r="K4" s="37"/>
      <c r="L4" s="63" t="s">
        <v>713</v>
      </c>
      <c r="M4" s="63"/>
      <c r="N4" s="63"/>
      <c r="O4" s="63"/>
      <c r="P4" s="63"/>
      <c r="Q4" s="63"/>
      <c r="R4" s="37" t="s">
        <v>198</v>
      </c>
      <c r="S4" s="37"/>
      <c r="T4" s="37"/>
      <c r="U4" s="37" t="s">
        <v>29</v>
      </c>
      <c r="V4" s="37"/>
      <c r="W4" s="37"/>
      <c r="X4" s="37" t="s">
        <v>14</v>
      </c>
      <c r="Y4" s="37"/>
      <c r="Z4" s="37"/>
      <c r="AA4" s="37" t="s">
        <v>31</v>
      </c>
      <c r="AB4" s="37"/>
      <c r="AC4" s="37"/>
      <c r="AD4" s="63" t="s">
        <v>798</v>
      </c>
      <c r="AE4" s="63"/>
      <c r="AF4" s="63"/>
      <c r="AG4" s="63" t="s">
        <v>799</v>
      </c>
      <c r="AH4" s="63"/>
      <c r="AI4" s="63"/>
      <c r="AJ4" s="63"/>
      <c r="AK4" s="63"/>
      <c r="AL4" s="63"/>
      <c r="AM4" s="63"/>
      <c r="AN4" s="63"/>
      <c r="AO4" s="63"/>
      <c r="AP4" s="63"/>
      <c r="AQ4" s="63"/>
      <c r="AS4" s="37" t="s">
        <v>466</v>
      </c>
      <c r="AT4" s="37"/>
      <c r="AU4" s="63" t="n">
        <v>50</v>
      </c>
      <c r="AV4" s="63"/>
      <c r="AW4" s="63"/>
      <c r="AX4" s="37" t="n">
        <v>22</v>
      </c>
      <c r="AY4" s="37"/>
      <c r="AZ4" s="37"/>
      <c r="BA4" s="37" t="n">
        <v>17</v>
      </c>
      <c r="BB4" s="37"/>
      <c r="BC4" s="37"/>
      <c r="BD4" s="37" t="n">
        <v>25</v>
      </c>
      <c r="BE4" s="37"/>
      <c r="BF4" s="37"/>
      <c r="BG4" s="37" t="n">
        <v>50</v>
      </c>
      <c r="BH4" s="37"/>
      <c r="BI4" s="37"/>
      <c r="BJ4" s="37" t="n">
        <v>40</v>
      </c>
      <c r="BK4" s="37"/>
      <c r="BL4" s="37"/>
      <c r="BM4" s="37" t="n">
        <v>25</v>
      </c>
      <c r="BN4" s="37"/>
      <c r="BO4" s="37"/>
      <c r="BP4" s="37" t="n">
        <v>17</v>
      </c>
      <c r="BQ4" s="37"/>
      <c r="BR4" s="37"/>
      <c r="BS4" s="37" t="n">
        <v>22</v>
      </c>
      <c r="BT4" s="37"/>
      <c r="BU4" s="37"/>
      <c r="BV4" s="63" t="n">
        <v>50</v>
      </c>
      <c r="BW4" s="63"/>
      <c r="BX4" s="63"/>
      <c r="BY4" s="63"/>
      <c r="BZ4" s="63"/>
      <c r="CA4" s="63"/>
      <c r="CB4" s="63"/>
      <c r="CC4" s="63"/>
      <c r="CD4" s="63"/>
      <c r="CE4" s="37" t="s">
        <v>469</v>
      </c>
      <c r="CF4" s="37"/>
      <c r="CG4" s="37"/>
      <c r="CH4" s="37"/>
      <c r="CI4" s="37"/>
      <c r="CK4" s="29" t="s">
        <v>466</v>
      </c>
      <c r="CL4" s="29"/>
      <c r="CM4" s="35" t="n">
        <v>4</v>
      </c>
      <c r="CN4" s="35"/>
      <c r="CO4" s="35"/>
      <c r="CP4" s="36" t="n">
        <v>3</v>
      </c>
      <c r="CQ4" s="36"/>
      <c r="CR4" s="36"/>
      <c r="CS4" s="36" t="n">
        <v>2</v>
      </c>
      <c r="CT4" s="36"/>
      <c r="CU4" s="36"/>
      <c r="CV4" s="36" t="n">
        <v>2.5</v>
      </c>
      <c r="CW4" s="36"/>
      <c r="CX4" s="36"/>
      <c r="CY4" s="36" t="n">
        <v>4</v>
      </c>
      <c r="CZ4" s="36"/>
      <c r="DA4" s="36"/>
      <c r="DB4" s="36" t="n">
        <v>5</v>
      </c>
      <c r="DC4" s="36"/>
      <c r="DD4" s="36"/>
      <c r="DE4" s="36" t="n">
        <v>2</v>
      </c>
      <c r="DF4" s="36"/>
      <c r="DG4" s="36"/>
      <c r="DH4" s="36" t="n">
        <v>2</v>
      </c>
      <c r="DI4" s="36"/>
      <c r="DJ4" s="36"/>
      <c r="DK4" s="36" t="n">
        <v>3</v>
      </c>
      <c r="DL4" s="36"/>
      <c r="DM4" s="36"/>
      <c r="DN4" s="35" t="n">
        <v>4</v>
      </c>
      <c r="DO4" s="35"/>
      <c r="DP4" s="35"/>
      <c r="DQ4" s="35"/>
      <c r="DR4" s="35"/>
      <c r="DS4" s="35"/>
      <c r="DT4" s="35"/>
      <c r="DU4" s="35"/>
      <c r="DV4" s="35"/>
      <c r="DW4" s="29" t="s">
        <v>469</v>
      </c>
      <c r="DX4" s="29"/>
      <c r="DY4" s="29"/>
      <c r="DZ4" s="29"/>
      <c r="EA4" s="29"/>
    </row>
    <row r="5" customFormat="false" ht="25.5" hidden="false" customHeight="true" outlineLevel="0" collapsed="false">
      <c r="A5" s="63"/>
      <c r="B5" s="63"/>
      <c r="C5" s="63"/>
      <c r="D5" s="37" t="s">
        <v>1</v>
      </c>
      <c r="E5" s="37"/>
      <c r="F5" s="37"/>
      <c r="G5" s="37" t="s">
        <v>800</v>
      </c>
      <c r="H5" s="37"/>
      <c r="I5" s="37"/>
      <c r="J5" s="37" t="s">
        <v>801</v>
      </c>
      <c r="K5" s="37"/>
      <c r="L5" s="37"/>
      <c r="M5" s="38" t="s">
        <v>802</v>
      </c>
      <c r="N5" s="38"/>
      <c r="O5" s="38"/>
      <c r="P5" s="37" t="s">
        <v>198</v>
      </c>
      <c r="Q5" s="37"/>
      <c r="R5" s="37"/>
      <c r="S5" s="37" t="s">
        <v>198</v>
      </c>
      <c r="T5" s="37"/>
      <c r="U5" s="37"/>
      <c r="V5" s="38" t="s">
        <v>712</v>
      </c>
      <c r="W5" s="38"/>
      <c r="X5" s="38"/>
      <c r="Y5" s="37" t="s">
        <v>11</v>
      </c>
      <c r="Z5" s="37"/>
      <c r="AA5" s="37"/>
      <c r="AB5" s="37" t="s">
        <v>2</v>
      </c>
      <c r="AC5" s="37"/>
      <c r="AD5" s="37"/>
      <c r="AE5" s="37" t="s">
        <v>45</v>
      </c>
      <c r="AF5" s="37"/>
      <c r="AG5" s="37"/>
      <c r="AH5" s="63"/>
      <c r="AI5" s="63"/>
      <c r="AJ5" s="63"/>
      <c r="AK5" s="63"/>
      <c r="AL5" s="63"/>
      <c r="AM5" s="63"/>
      <c r="AN5" s="64"/>
      <c r="AO5" s="64"/>
      <c r="AP5" s="64"/>
      <c r="AQ5" s="64"/>
      <c r="AS5" s="37" t="s">
        <v>470</v>
      </c>
      <c r="AT5" s="37"/>
      <c r="AU5" s="37"/>
      <c r="AV5" s="37" t="n">
        <v>12</v>
      </c>
      <c r="AW5" s="37"/>
      <c r="AX5" s="37"/>
      <c r="AY5" s="37" t="n">
        <v>15</v>
      </c>
      <c r="AZ5" s="37"/>
      <c r="BA5" s="37"/>
      <c r="BB5" s="37" t="n">
        <v>11</v>
      </c>
      <c r="BC5" s="37"/>
      <c r="BD5" s="37"/>
      <c r="BE5" s="38" t="n">
        <v>10</v>
      </c>
      <c r="BF5" s="38"/>
      <c r="BG5" s="38"/>
      <c r="BH5" s="37" t="n">
        <v>25</v>
      </c>
      <c r="BI5" s="37"/>
      <c r="BJ5" s="37"/>
      <c r="BK5" s="37" t="n">
        <v>25</v>
      </c>
      <c r="BL5" s="37"/>
      <c r="BM5" s="37"/>
      <c r="BN5" s="38" t="n">
        <v>10</v>
      </c>
      <c r="BO5" s="38"/>
      <c r="BP5" s="38"/>
      <c r="BQ5" s="37" t="n">
        <v>11</v>
      </c>
      <c r="BR5" s="37"/>
      <c r="BS5" s="37"/>
      <c r="BT5" s="37" t="n">
        <v>15</v>
      </c>
      <c r="BU5" s="37"/>
      <c r="BV5" s="37"/>
      <c r="BW5" s="37" t="n">
        <v>12</v>
      </c>
      <c r="BX5" s="37"/>
      <c r="BY5" s="37"/>
      <c r="BZ5" s="63"/>
      <c r="CA5" s="63"/>
      <c r="CB5" s="63"/>
      <c r="CC5" s="63"/>
      <c r="CD5" s="63"/>
      <c r="CE5" s="63"/>
      <c r="CF5" s="64"/>
      <c r="CG5" s="64"/>
      <c r="CH5" s="64"/>
      <c r="CI5" s="64"/>
      <c r="CK5" s="36" t="s">
        <v>470</v>
      </c>
      <c r="CL5" s="36"/>
      <c r="CM5" s="36"/>
      <c r="CN5" s="36" t="n">
        <v>1.5</v>
      </c>
      <c r="CO5" s="36"/>
      <c r="CP5" s="36"/>
      <c r="CQ5" s="36" t="n">
        <v>2</v>
      </c>
      <c r="CR5" s="36"/>
      <c r="CS5" s="36"/>
      <c r="CT5" s="36" t="n">
        <v>1.5</v>
      </c>
      <c r="CU5" s="36"/>
      <c r="CV5" s="36"/>
      <c r="CW5" s="41" t="n">
        <v>1</v>
      </c>
      <c r="CX5" s="41"/>
      <c r="CY5" s="41"/>
      <c r="CZ5" s="36" t="n">
        <v>1.5</v>
      </c>
      <c r="DA5" s="36"/>
      <c r="DB5" s="36"/>
      <c r="DC5" s="36" t="n">
        <v>1.5</v>
      </c>
      <c r="DD5" s="36"/>
      <c r="DE5" s="36"/>
      <c r="DF5" s="41" t="n">
        <v>1</v>
      </c>
      <c r="DG5" s="41"/>
      <c r="DH5" s="41"/>
      <c r="DI5" s="36" t="n">
        <v>1.5</v>
      </c>
      <c r="DJ5" s="36"/>
      <c r="DK5" s="36"/>
      <c r="DL5" s="36" t="n">
        <v>2</v>
      </c>
      <c r="DM5" s="36"/>
      <c r="DN5" s="36"/>
      <c r="DO5" s="36" t="n">
        <v>1.5</v>
      </c>
      <c r="DP5" s="36"/>
      <c r="DQ5" s="36"/>
      <c r="DR5" s="35"/>
      <c r="DS5" s="35"/>
      <c r="DT5" s="35"/>
      <c r="DU5" s="35"/>
      <c r="DV5" s="35"/>
      <c r="DW5" s="35"/>
      <c r="DX5" s="39"/>
      <c r="DY5" s="39"/>
      <c r="DZ5" s="39"/>
      <c r="EA5" s="39"/>
    </row>
    <row r="6" customFormat="false" ht="25.5" hidden="false" customHeight="true" outlineLevel="0" collapsed="false">
      <c r="A6" s="63"/>
      <c r="B6" s="63"/>
      <c r="C6" s="63"/>
      <c r="D6" s="63"/>
      <c r="E6" s="63"/>
      <c r="F6" s="63"/>
      <c r="G6" s="63"/>
      <c r="H6" s="37" t="s">
        <v>535</v>
      </c>
      <c r="I6" s="37"/>
      <c r="J6" s="37"/>
      <c r="K6" s="63" t="s">
        <v>803</v>
      </c>
      <c r="L6" s="63"/>
      <c r="M6" s="63"/>
      <c r="N6" s="37" t="s">
        <v>714</v>
      </c>
      <c r="O6" s="37"/>
      <c r="P6" s="37"/>
      <c r="Q6" s="63"/>
      <c r="R6" s="63"/>
      <c r="S6" s="63"/>
      <c r="T6" s="37" t="s">
        <v>27</v>
      </c>
      <c r="U6" s="37"/>
      <c r="V6" s="37"/>
      <c r="W6" s="37" t="s">
        <v>535</v>
      </c>
      <c r="X6" s="37"/>
      <c r="Y6" s="37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S6" s="37" t="s">
        <v>474</v>
      </c>
      <c r="AT6" s="37"/>
      <c r="AU6" s="37"/>
      <c r="AV6" s="37"/>
      <c r="AW6" s="63" t="n">
        <v>40</v>
      </c>
      <c r="AX6" s="63"/>
      <c r="AY6" s="63"/>
      <c r="AZ6" s="63" t="n">
        <v>35</v>
      </c>
      <c r="BA6" s="63"/>
      <c r="BB6" s="63"/>
      <c r="BC6" s="37" t="n">
        <v>30</v>
      </c>
      <c r="BD6" s="37"/>
      <c r="BE6" s="37"/>
      <c r="BF6" s="37" t="n">
        <v>20</v>
      </c>
      <c r="BG6" s="37"/>
      <c r="BH6" s="37"/>
      <c r="BI6" s="37" t="n">
        <v>35</v>
      </c>
      <c r="BJ6" s="37"/>
      <c r="BK6" s="37"/>
      <c r="BL6" s="37" t="n">
        <v>20</v>
      </c>
      <c r="BM6" s="37"/>
      <c r="BN6" s="37"/>
      <c r="BO6" s="37" t="n">
        <v>25</v>
      </c>
      <c r="BP6" s="37"/>
      <c r="BQ6" s="37"/>
      <c r="BR6" s="37" t="n">
        <v>30</v>
      </c>
      <c r="BS6" s="37"/>
      <c r="BT6" s="37"/>
      <c r="BU6" s="63" t="n">
        <v>40</v>
      </c>
      <c r="BV6" s="63"/>
      <c r="BW6" s="63"/>
      <c r="BX6" s="63" t="n">
        <v>50</v>
      </c>
      <c r="BY6" s="63"/>
      <c r="BZ6" s="63"/>
      <c r="CA6" s="63"/>
      <c r="CB6" s="63"/>
      <c r="CC6" s="63" t="s">
        <v>474</v>
      </c>
      <c r="CD6" s="37" t="s">
        <v>474</v>
      </c>
      <c r="CE6" s="37"/>
      <c r="CF6" s="37"/>
      <c r="CG6" s="37"/>
      <c r="CH6" s="37"/>
      <c r="CI6" s="37"/>
      <c r="CK6" s="37" t="s">
        <v>474</v>
      </c>
      <c r="CL6" s="37"/>
      <c r="CM6" s="37"/>
      <c r="CN6" s="37"/>
      <c r="CO6" s="35" t="n">
        <v>4</v>
      </c>
      <c r="CP6" s="35"/>
      <c r="CQ6" s="35"/>
      <c r="CR6" s="35" t="n">
        <v>3</v>
      </c>
      <c r="CS6" s="35"/>
      <c r="CT6" s="35"/>
      <c r="CU6" s="36" t="n">
        <v>2</v>
      </c>
      <c r="CV6" s="36"/>
      <c r="CW6" s="36"/>
      <c r="CX6" s="36" t="n">
        <v>1.5</v>
      </c>
      <c r="CY6" s="36"/>
      <c r="CZ6" s="36"/>
      <c r="DA6" s="36" t="n">
        <v>2.5</v>
      </c>
      <c r="DB6" s="36"/>
      <c r="DC6" s="36"/>
      <c r="DD6" s="36" t="n">
        <v>2.5</v>
      </c>
      <c r="DE6" s="36"/>
      <c r="DF6" s="36"/>
      <c r="DG6" s="36" t="n">
        <v>1.5</v>
      </c>
      <c r="DH6" s="36"/>
      <c r="DI6" s="36"/>
      <c r="DJ6" s="36" t="n">
        <v>2</v>
      </c>
      <c r="DK6" s="36"/>
      <c r="DL6" s="36"/>
      <c r="DM6" s="35" t="n">
        <v>3</v>
      </c>
      <c r="DN6" s="35"/>
      <c r="DO6" s="35"/>
      <c r="DP6" s="35" t="n">
        <v>4.5</v>
      </c>
      <c r="DQ6" s="35"/>
      <c r="DR6" s="35"/>
      <c r="DS6" s="35"/>
      <c r="DT6" s="35"/>
      <c r="DU6" s="35" t="s">
        <v>474</v>
      </c>
      <c r="DV6" s="29" t="s">
        <v>474</v>
      </c>
      <c r="DW6" s="29"/>
      <c r="DX6" s="29"/>
      <c r="DY6" s="29"/>
      <c r="DZ6" s="29"/>
      <c r="EA6" s="29"/>
    </row>
    <row r="7" customFormat="false" ht="12.8" hidden="false" customHeight="true" outlineLevel="0" collapsed="false">
      <c r="A7" s="37"/>
      <c r="B7" s="37"/>
      <c r="C7" s="37"/>
      <c r="D7" s="37"/>
      <c r="E7" s="37"/>
      <c r="F7" s="37"/>
      <c r="G7" s="37"/>
      <c r="H7" s="37"/>
      <c r="I7" s="37"/>
      <c r="J7" s="37"/>
      <c r="K7" s="42"/>
      <c r="L7" s="42"/>
      <c r="M7" s="42"/>
      <c r="N7" s="63"/>
      <c r="O7" s="63"/>
      <c r="P7" s="63"/>
      <c r="Q7" s="63"/>
      <c r="R7" s="63"/>
      <c r="S7" s="63"/>
      <c r="T7" s="63"/>
      <c r="U7" s="63"/>
      <c r="V7" s="63"/>
      <c r="W7" s="42"/>
      <c r="X7" s="42"/>
      <c r="Y7" s="42"/>
      <c r="Z7" s="43"/>
      <c r="AA7" s="43"/>
      <c r="AB7" s="43"/>
      <c r="AC7" s="37"/>
      <c r="AD7" s="37"/>
      <c r="AE7" s="37"/>
      <c r="AF7" s="37"/>
      <c r="AG7" s="37"/>
      <c r="AH7" s="37"/>
      <c r="AI7" s="44"/>
      <c r="AJ7" s="44"/>
      <c r="AK7" s="44"/>
      <c r="AL7" s="34"/>
      <c r="AM7" s="34"/>
      <c r="AN7" s="34"/>
      <c r="AO7" s="44"/>
      <c r="AP7" s="44"/>
      <c r="AQ7" s="44"/>
      <c r="AS7" s="37" t="s">
        <v>478</v>
      </c>
      <c r="AT7" s="37" t="s">
        <v>479</v>
      </c>
      <c r="AU7" s="37"/>
      <c r="AV7" s="37"/>
      <c r="AW7" s="37" t="s">
        <v>480</v>
      </c>
      <c r="AX7" s="37"/>
      <c r="AY7" s="37"/>
      <c r="AZ7" s="37" t="s">
        <v>481</v>
      </c>
      <c r="BA7" s="37"/>
      <c r="BB7" s="37"/>
      <c r="BC7" s="42" t="s">
        <v>482</v>
      </c>
      <c r="BD7" s="42"/>
      <c r="BE7" s="42"/>
      <c r="BF7" s="37" t="s">
        <v>483</v>
      </c>
      <c r="BG7" s="37"/>
      <c r="BH7" s="37" t="s">
        <v>484</v>
      </c>
      <c r="BI7" s="37"/>
      <c r="BJ7" s="37"/>
      <c r="BK7" s="37"/>
      <c r="BL7" s="37"/>
      <c r="BM7" s="37"/>
      <c r="BN7" s="37" t="s">
        <v>485</v>
      </c>
      <c r="BO7" s="42" t="s">
        <v>485</v>
      </c>
      <c r="BP7" s="42"/>
      <c r="BQ7" s="42"/>
      <c r="BR7" s="43" t="s">
        <v>486</v>
      </c>
      <c r="BS7" s="43"/>
      <c r="BT7" s="43"/>
      <c r="BU7" s="37" t="s">
        <v>481</v>
      </c>
      <c r="BV7" s="37"/>
      <c r="BW7" s="37"/>
      <c r="BX7" s="37" t="s">
        <v>478</v>
      </c>
      <c r="BY7" s="37"/>
      <c r="BZ7" s="37"/>
      <c r="CA7" s="44"/>
      <c r="CB7" s="44"/>
      <c r="CC7" s="44"/>
      <c r="CD7" s="63" t="s">
        <v>487</v>
      </c>
      <c r="CE7" s="63"/>
      <c r="CF7" s="63"/>
      <c r="CG7" s="44"/>
      <c r="CH7" s="44"/>
      <c r="CI7" s="44"/>
      <c r="CK7" s="37" t="s">
        <v>478</v>
      </c>
      <c r="CL7" s="37" t="s">
        <v>479</v>
      </c>
      <c r="CM7" s="37"/>
      <c r="CN7" s="37"/>
      <c r="CO7" s="37" t="s">
        <v>480</v>
      </c>
      <c r="CP7" s="37"/>
      <c r="CQ7" s="37"/>
      <c r="CR7" s="37" t="s">
        <v>481</v>
      </c>
      <c r="CS7" s="37"/>
      <c r="CT7" s="37"/>
      <c r="CU7" s="42" t="s">
        <v>482</v>
      </c>
      <c r="CV7" s="42"/>
      <c r="CW7" s="42"/>
      <c r="CX7" s="36" t="s">
        <v>483</v>
      </c>
      <c r="CY7" s="36"/>
      <c r="CZ7" s="36" t="s">
        <v>484</v>
      </c>
      <c r="DA7" s="36"/>
      <c r="DB7" s="36"/>
      <c r="DC7" s="36"/>
      <c r="DD7" s="36"/>
      <c r="DE7" s="36"/>
      <c r="DF7" s="36" t="s">
        <v>485</v>
      </c>
      <c r="DG7" s="42" t="s">
        <v>485</v>
      </c>
      <c r="DH7" s="42"/>
      <c r="DI7" s="42"/>
      <c r="DJ7" s="43" t="s">
        <v>486</v>
      </c>
      <c r="DK7" s="43"/>
      <c r="DL7" s="43"/>
      <c r="DM7" s="37" t="s">
        <v>481</v>
      </c>
      <c r="DN7" s="37"/>
      <c r="DO7" s="37"/>
      <c r="DP7" s="37" t="s">
        <v>478</v>
      </c>
      <c r="DQ7" s="37"/>
      <c r="DR7" s="37"/>
      <c r="DS7" s="44"/>
      <c r="DT7" s="44"/>
      <c r="DU7" s="44"/>
      <c r="DV7" s="34" t="s">
        <v>487</v>
      </c>
      <c r="DW7" s="34"/>
      <c r="DX7" s="34"/>
      <c r="DY7" s="44"/>
      <c r="DZ7" s="44"/>
      <c r="EA7" s="44"/>
    </row>
    <row r="8" customFormat="false" ht="12.8" hidden="false" customHeight="true" outlineLevel="0" collapsed="false">
      <c r="A8" s="37"/>
      <c r="B8" s="37"/>
      <c r="C8" s="37"/>
      <c r="D8" s="37"/>
      <c r="E8" s="37"/>
      <c r="F8" s="37"/>
      <c r="G8" s="37"/>
      <c r="H8" s="37"/>
      <c r="I8" s="37"/>
      <c r="J8" s="37"/>
      <c r="K8" s="42"/>
      <c r="L8" s="42"/>
      <c r="M8" s="42"/>
      <c r="N8" s="63"/>
      <c r="O8" s="63"/>
      <c r="P8" s="63"/>
      <c r="Q8" s="63"/>
      <c r="R8" s="63"/>
      <c r="S8" s="63"/>
      <c r="T8" s="63"/>
      <c r="U8" s="63"/>
      <c r="V8" s="63"/>
      <c r="W8" s="42"/>
      <c r="X8" s="42"/>
      <c r="Y8" s="42"/>
      <c r="Z8" s="43"/>
      <c r="AA8" s="43"/>
      <c r="AB8" s="43"/>
      <c r="AC8" s="37"/>
      <c r="AD8" s="37"/>
      <c r="AE8" s="37"/>
      <c r="AF8" s="37"/>
      <c r="AG8" s="37"/>
      <c r="AH8" s="37"/>
      <c r="AI8" s="34"/>
      <c r="AJ8" s="34"/>
      <c r="AK8" s="34"/>
      <c r="AL8" s="34"/>
      <c r="AM8" s="34"/>
      <c r="AN8" s="34"/>
      <c r="AO8" s="34"/>
      <c r="AP8" s="34"/>
      <c r="AQ8" s="34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42"/>
      <c r="BD8" s="42"/>
      <c r="BE8" s="42"/>
      <c r="BF8" s="37"/>
      <c r="BG8" s="37"/>
      <c r="BH8" s="37"/>
      <c r="BI8" s="37"/>
      <c r="BJ8" s="37"/>
      <c r="BK8" s="37"/>
      <c r="BL8" s="37"/>
      <c r="BM8" s="37"/>
      <c r="BN8" s="37"/>
      <c r="BO8" s="42"/>
      <c r="BP8" s="42"/>
      <c r="BQ8" s="42"/>
      <c r="BR8" s="43"/>
      <c r="BS8" s="43"/>
      <c r="BT8" s="43"/>
      <c r="BU8" s="37"/>
      <c r="BV8" s="37"/>
      <c r="BW8" s="37"/>
      <c r="BX8" s="37"/>
      <c r="BY8" s="37"/>
      <c r="BZ8" s="37"/>
      <c r="CA8" s="63" t="s">
        <v>402</v>
      </c>
      <c r="CB8" s="63"/>
      <c r="CC8" s="63" t="s">
        <v>488</v>
      </c>
      <c r="CD8" s="63" t="s">
        <v>488</v>
      </c>
      <c r="CE8" s="63"/>
      <c r="CF8" s="63"/>
      <c r="CG8" s="63" t="s">
        <v>400</v>
      </c>
      <c r="CH8" s="63"/>
      <c r="CI8" s="63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42"/>
      <c r="CV8" s="42"/>
      <c r="CW8" s="42"/>
      <c r="CX8" s="36"/>
      <c r="CY8" s="36"/>
      <c r="CZ8" s="36"/>
      <c r="DA8" s="36"/>
      <c r="DB8" s="36"/>
      <c r="DC8" s="36"/>
      <c r="DD8" s="36"/>
      <c r="DE8" s="36"/>
      <c r="DF8" s="36"/>
      <c r="DG8" s="42"/>
      <c r="DH8" s="42"/>
      <c r="DI8" s="42"/>
      <c r="DJ8" s="43"/>
      <c r="DK8" s="43"/>
      <c r="DL8" s="43"/>
      <c r="DM8" s="37"/>
      <c r="DN8" s="37"/>
      <c r="DO8" s="37"/>
      <c r="DP8" s="37"/>
      <c r="DQ8" s="37"/>
      <c r="DR8" s="37"/>
      <c r="DS8" s="34" t="s">
        <v>402</v>
      </c>
      <c r="DT8" s="34"/>
      <c r="DU8" s="34" t="s">
        <v>488</v>
      </c>
      <c r="DV8" s="34" t="s">
        <v>488</v>
      </c>
      <c r="DW8" s="34"/>
      <c r="DX8" s="34"/>
      <c r="DY8" s="34" t="s">
        <v>400</v>
      </c>
      <c r="DZ8" s="34"/>
      <c r="EA8" s="34"/>
    </row>
    <row r="9" customFormat="false" ht="10" hidden="false" customHeight="true" outlineLevel="0" collapsed="false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</row>
    <row r="11" customFormat="false" ht="25.5" hidden="false" customHeight="true" outlineLevel="0" collapsed="false">
      <c r="A11" s="63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S11" s="63" t="s">
        <v>461</v>
      </c>
      <c r="AT11" s="63"/>
      <c r="AU11" s="63"/>
      <c r="AV11" s="63"/>
      <c r="AW11" s="63"/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3"/>
      <c r="BK11" s="63"/>
      <c r="BL11" s="63"/>
      <c r="BM11" s="63"/>
      <c r="BN11" s="63"/>
      <c r="BO11" s="63"/>
      <c r="BP11" s="63"/>
      <c r="BQ11" s="63"/>
      <c r="BR11" s="63"/>
      <c r="BS11" s="63"/>
      <c r="BT11" s="63"/>
      <c r="BU11" s="63"/>
      <c r="BV11" s="63"/>
      <c r="BW11" s="63"/>
      <c r="BX11" s="63"/>
      <c r="BY11" s="63"/>
      <c r="BZ11" s="63"/>
      <c r="CA11" s="63"/>
      <c r="CB11" s="63"/>
      <c r="CC11" s="63"/>
      <c r="CD11" s="63"/>
      <c r="CE11" s="63"/>
      <c r="CF11" s="63"/>
      <c r="CG11" s="37" t="s">
        <v>465</v>
      </c>
      <c r="CH11" s="37"/>
      <c r="CI11" s="37"/>
      <c r="CK11" s="63" t="s">
        <v>461</v>
      </c>
      <c r="CL11" s="63"/>
      <c r="CM11" s="63"/>
      <c r="CN11" s="63"/>
      <c r="CO11" s="63"/>
      <c r="CP11" s="63"/>
      <c r="CQ11" s="63"/>
      <c r="CR11" s="63"/>
      <c r="CS11" s="63"/>
      <c r="CT11" s="63"/>
      <c r="CU11" s="63"/>
      <c r="CV11" s="63"/>
      <c r="CW11" s="63"/>
      <c r="CX11" s="63"/>
      <c r="CY11" s="63"/>
      <c r="CZ11" s="63"/>
      <c r="DA11" s="63"/>
      <c r="DB11" s="63"/>
      <c r="DC11" s="63"/>
      <c r="DD11" s="63"/>
      <c r="DE11" s="63"/>
      <c r="DF11" s="63"/>
      <c r="DG11" s="63"/>
      <c r="DH11" s="63"/>
      <c r="DI11" s="63"/>
      <c r="DJ11" s="63"/>
      <c r="DK11" s="63"/>
      <c r="DL11" s="63"/>
      <c r="DM11" s="63"/>
      <c r="DN11" s="63"/>
      <c r="DO11" s="63"/>
      <c r="DP11" s="63"/>
      <c r="DQ11" s="63"/>
      <c r="DR11" s="63"/>
      <c r="DS11" s="63"/>
      <c r="DT11" s="63"/>
      <c r="DU11" s="63"/>
      <c r="DV11" s="63"/>
      <c r="DW11" s="63"/>
      <c r="DX11" s="63"/>
      <c r="DY11" s="37" t="s">
        <v>465</v>
      </c>
      <c r="DZ11" s="37"/>
      <c r="EA11" s="37"/>
    </row>
    <row r="12" customFormat="false" ht="25.5" hidden="false" customHeight="true" outlineLevel="0" collapsed="false">
      <c r="A12" s="63"/>
      <c r="B12" s="63"/>
      <c r="C12" s="148" t="s">
        <v>6</v>
      </c>
      <c r="D12" s="148"/>
      <c r="E12" s="148"/>
      <c r="F12" s="148" t="s">
        <v>804</v>
      </c>
      <c r="G12" s="148"/>
      <c r="H12" s="148"/>
      <c r="I12" s="148" t="s">
        <v>209</v>
      </c>
      <c r="J12" s="148"/>
      <c r="K12" s="148"/>
      <c r="L12" s="148" t="s">
        <v>46</v>
      </c>
      <c r="M12" s="148"/>
      <c r="N12" s="148"/>
      <c r="O12" s="148" t="s">
        <v>384</v>
      </c>
      <c r="P12" s="148"/>
      <c r="Q12" s="148"/>
      <c r="R12" s="148" t="s">
        <v>477</v>
      </c>
      <c r="S12" s="148"/>
      <c r="T12" s="148"/>
      <c r="U12" s="148" t="s">
        <v>29</v>
      </c>
      <c r="V12" s="148"/>
      <c r="W12" s="148"/>
      <c r="X12" s="148" t="s">
        <v>14</v>
      </c>
      <c r="Y12" s="148"/>
      <c r="Z12" s="148"/>
      <c r="AA12" s="148" t="s">
        <v>31</v>
      </c>
      <c r="AB12" s="148"/>
      <c r="AC12" s="148"/>
      <c r="AD12" s="148" t="s">
        <v>700</v>
      </c>
      <c r="AE12" s="148"/>
      <c r="AF12" s="148"/>
      <c r="AG12" s="148"/>
      <c r="AH12" s="148"/>
      <c r="AI12" s="148"/>
      <c r="AJ12" s="148"/>
      <c r="AK12" s="148"/>
      <c r="AL12" s="148"/>
      <c r="AM12" s="63"/>
      <c r="AN12" s="63"/>
      <c r="AO12" s="63"/>
      <c r="AP12" s="63"/>
      <c r="AQ12" s="63"/>
      <c r="AS12" s="37" t="s">
        <v>466</v>
      </c>
      <c r="AT12" s="37"/>
      <c r="AU12" s="149" t="n">
        <v>50</v>
      </c>
      <c r="AV12" s="149"/>
      <c r="AW12" s="149"/>
      <c r="AX12" s="149" t="n">
        <v>30</v>
      </c>
      <c r="AY12" s="149"/>
      <c r="AZ12" s="149"/>
      <c r="BA12" s="149" t="n">
        <v>20</v>
      </c>
      <c r="BB12" s="149"/>
      <c r="BC12" s="149"/>
      <c r="BD12" s="149" t="n">
        <v>25</v>
      </c>
      <c r="BE12" s="149"/>
      <c r="BF12" s="149"/>
      <c r="BG12" s="149" t="n">
        <v>50</v>
      </c>
      <c r="BH12" s="149"/>
      <c r="BI12" s="149"/>
      <c r="BJ12" s="149" t="n">
        <v>40</v>
      </c>
      <c r="BK12" s="149"/>
      <c r="BL12" s="149"/>
      <c r="BM12" s="149" t="n">
        <v>25</v>
      </c>
      <c r="BN12" s="149"/>
      <c r="BO12" s="149"/>
      <c r="BP12" s="149" t="n">
        <v>20</v>
      </c>
      <c r="BQ12" s="149"/>
      <c r="BR12" s="149"/>
      <c r="BS12" s="149" t="n">
        <v>30</v>
      </c>
      <c r="BT12" s="149"/>
      <c r="BU12" s="149"/>
      <c r="BV12" s="149" t="n">
        <v>50</v>
      </c>
      <c r="BW12" s="149"/>
      <c r="BX12" s="149"/>
      <c r="BY12" s="149"/>
      <c r="BZ12" s="149"/>
      <c r="CA12" s="149"/>
      <c r="CB12" s="149"/>
      <c r="CC12" s="149"/>
      <c r="CD12" s="149"/>
      <c r="CE12" s="37" t="s">
        <v>469</v>
      </c>
      <c r="CF12" s="37"/>
      <c r="CG12" s="37"/>
      <c r="CH12" s="37"/>
      <c r="CI12" s="37"/>
      <c r="CK12" s="37" t="s">
        <v>466</v>
      </c>
      <c r="CL12" s="37"/>
      <c r="CM12" s="115" t="s">
        <v>10</v>
      </c>
      <c r="CN12" s="115"/>
      <c r="CO12" s="115"/>
      <c r="CP12" s="115" t="s">
        <v>6</v>
      </c>
      <c r="CQ12" s="115"/>
      <c r="CR12" s="115"/>
      <c r="CS12" s="115" t="s">
        <v>14</v>
      </c>
      <c r="CT12" s="115"/>
      <c r="CU12" s="115"/>
      <c r="CV12" s="37" t="s">
        <v>3</v>
      </c>
      <c r="CW12" s="37"/>
      <c r="CX12" s="37"/>
      <c r="CY12" s="37" t="s">
        <v>5</v>
      </c>
      <c r="CZ12" s="37"/>
      <c r="DA12" s="37"/>
      <c r="DB12" s="37" t="s">
        <v>47</v>
      </c>
      <c r="DC12" s="37"/>
      <c r="DD12" s="37"/>
      <c r="DE12" s="37" t="s">
        <v>284</v>
      </c>
      <c r="DF12" s="37"/>
      <c r="DG12" s="37"/>
      <c r="DH12" s="37" t="s">
        <v>209</v>
      </c>
      <c r="DI12" s="37"/>
      <c r="DJ12" s="37"/>
      <c r="DK12" s="37" t="s">
        <v>12</v>
      </c>
      <c r="DL12" s="37"/>
      <c r="DM12" s="37"/>
      <c r="DN12" s="37" t="s">
        <v>243</v>
      </c>
      <c r="DO12" s="37"/>
      <c r="DP12" s="37"/>
      <c r="DQ12" s="63"/>
      <c r="DR12" s="63"/>
      <c r="DS12" s="63"/>
      <c r="DT12" s="63"/>
      <c r="DU12" s="63"/>
      <c r="DV12" s="63"/>
      <c r="DW12" s="37" t="s">
        <v>469</v>
      </c>
      <c r="DX12" s="37"/>
      <c r="DY12" s="37"/>
      <c r="DZ12" s="37"/>
      <c r="EA12" s="37"/>
    </row>
    <row r="13" customFormat="false" ht="25.5" hidden="false" customHeight="true" outlineLevel="0" collapsed="false">
      <c r="A13" s="148"/>
      <c r="B13" s="148"/>
      <c r="C13" s="148"/>
      <c r="D13" s="148" t="s">
        <v>4</v>
      </c>
      <c r="E13" s="148"/>
      <c r="F13" s="148"/>
      <c r="G13" s="148" t="s">
        <v>8</v>
      </c>
      <c r="H13" s="148"/>
      <c r="I13" s="148"/>
      <c r="J13" s="148" t="s">
        <v>105</v>
      </c>
      <c r="K13" s="148"/>
      <c r="L13" s="148"/>
      <c r="M13" s="150" t="s">
        <v>13</v>
      </c>
      <c r="N13" s="150"/>
      <c r="O13" s="150"/>
      <c r="P13" s="148" t="s">
        <v>16</v>
      </c>
      <c r="Q13" s="148"/>
      <c r="R13" s="148"/>
      <c r="S13" s="148" t="s">
        <v>462</v>
      </c>
      <c r="T13" s="148"/>
      <c r="U13" s="148"/>
      <c r="V13" s="150" t="s">
        <v>1</v>
      </c>
      <c r="W13" s="150"/>
      <c r="X13" s="150"/>
      <c r="Y13" s="148" t="s">
        <v>2</v>
      </c>
      <c r="Z13" s="148"/>
      <c r="AA13" s="148"/>
      <c r="AB13" s="148" t="s">
        <v>11</v>
      </c>
      <c r="AC13" s="148"/>
      <c r="AD13" s="148"/>
      <c r="AE13" s="148" t="s">
        <v>45</v>
      </c>
      <c r="AF13" s="148"/>
      <c r="AG13" s="148"/>
      <c r="AH13" s="148"/>
      <c r="AI13" s="148"/>
      <c r="AJ13" s="148"/>
      <c r="AK13" s="148"/>
      <c r="AL13" s="148"/>
      <c r="AM13" s="148"/>
      <c r="AN13" s="64"/>
      <c r="AO13" s="64"/>
      <c r="AP13" s="64"/>
      <c r="AQ13" s="64"/>
      <c r="AS13" s="37" t="s">
        <v>470</v>
      </c>
      <c r="AT13" s="37"/>
      <c r="AU13" s="37"/>
      <c r="AV13" s="149" t="n">
        <v>12</v>
      </c>
      <c r="AW13" s="149"/>
      <c r="AX13" s="149"/>
      <c r="AY13" s="149" t="n">
        <v>15</v>
      </c>
      <c r="AZ13" s="149"/>
      <c r="BA13" s="149"/>
      <c r="BB13" s="149" t="n">
        <v>11</v>
      </c>
      <c r="BC13" s="149"/>
      <c r="BD13" s="149"/>
      <c r="BE13" s="151" t="n">
        <v>10</v>
      </c>
      <c r="BF13" s="151"/>
      <c r="BG13" s="151"/>
      <c r="BH13" s="149" t="n">
        <v>20</v>
      </c>
      <c r="BI13" s="149"/>
      <c r="BJ13" s="149"/>
      <c r="BK13" s="149" t="n">
        <v>20</v>
      </c>
      <c r="BL13" s="149"/>
      <c r="BM13" s="149"/>
      <c r="BN13" s="151" t="n">
        <v>10</v>
      </c>
      <c r="BO13" s="151"/>
      <c r="BP13" s="151"/>
      <c r="BQ13" s="149" t="n">
        <v>11</v>
      </c>
      <c r="BR13" s="149"/>
      <c r="BS13" s="149"/>
      <c r="BT13" s="149" t="n">
        <v>15</v>
      </c>
      <c r="BU13" s="149"/>
      <c r="BV13" s="149"/>
      <c r="BW13" s="149" t="n">
        <v>12</v>
      </c>
      <c r="BX13" s="149"/>
      <c r="BY13" s="149"/>
      <c r="BZ13" s="149"/>
      <c r="CA13" s="149"/>
      <c r="CB13" s="149"/>
      <c r="CC13" s="149"/>
      <c r="CD13" s="149"/>
      <c r="CE13" s="149"/>
      <c r="CF13" s="64"/>
      <c r="CG13" s="64"/>
      <c r="CH13" s="64"/>
      <c r="CI13" s="64"/>
      <c r="CK13" s="37" t="s">
        <v>470</v>
      </c>
      <c r="CL13" s="37"/>
      <c r="CM13" s="37"/>
      <c r="CN13" s="115" t="s">
        <v>1</v>
      </c>
      <c r="CO13" s="115"/>
      <c r="CP13" s="115"/>
      <c r="CQ13" s="37" t="s">
        <v>45</v>
      </c>
      <c r="CR13" s="37"/>
      <c r="CS13" s="37"/>
      <c r="CT13" s="37" t="s">
        <v>11</v>
      </c>
      <c r="CU13" s="37"/>
      <c r="CV13" s="37"/>
      <c r="CW13" s="38" t="s">
        <v>2</v>
      </c>
      <c r="CX13" s="38"/>
      <c r="CY13" s="38"/>
      <c r="CZ13" s="37" t="s">
        <v>243</v>
      </c>
      <c r="DA13" s="37"/>
      <c r="DB13" s="37"/>
      <c r="DC13" s="115" t="s">
        <v>16</v>
      </c>
      <c r="DD13" s="115"/>
      <c r="DE13" s="115"/>
      <c r="DF13" s="38" t="s">
        <v>13</v>
      </c>
      <c r="DG13" s="38"/>
      <c r="DH13" s="38"/>
      <c r="DI13" s="37" t="s">
        <v>105</v>
      </c>
      <c r="DJ13" s="37"/>
      <c r="DK13" s="37"/>
      <c r="DL13" s="37" t="s">
        <v>8</v>
      </c>
      <c r="DM13" s="37"/>
      <c r="DN13" s="37"/>
      <c r="DO13" s="37" t="s">
        <v>4</v>
      </c>
      <c r="DP13" s="37"/>
      <c r="DQ13" s="37"/>
      <c r="DR13" s="63"/>
      <c r="DS13" s="63"/>
      <c r="DT13" s="63"/>
      <c r="DU13" s="63"/>
      <c r="DV13" s="63"/>
      <c r="DW13" s="63"/>
      <c r="DX13" s="64"/>
      <c r="DY13" s="64"/>
      <c r="DZ13" s="64"/>
      <c r="EA13" s="64"/>
    </row>
    <row r="14" customFormat="false" ht="25.5" hidden="false" customHeight="true" outlineLevel="0" collapsed="false">
      <c r="A14" s="63"/>
      <c r="B14" s="63"/>
      <c r="C14" s="63"/>
      <c r="D14" s="63"/>
      <c r="E14" s="148" t="s">
        <v>243</v>
      </c>
      <c r="F14" s="148"/>
      <c r="G14" s="148"/>
      <c r="H14" s="148" t="s">
        <v>7</v>
      </c>
      <c r="I14" s="148"/>
      <c r="J14" s="148"/>
      <c r="K14" s="148" t="s">
        <v>284</v>
      </c>
      <c r="L14" s="148"/>
      <c r="M14" s="148"/>
      <c r="N14" s="148" t="s">
        <v>15</v>
      </c>
      <c r="O14" s="148"/>
      <c r="P14" s="148"/>
      <c r="Q14" s="148" t="s">
        <v>307</v>
      </c>
      <c r="R14" s="148"/>
      <c r="S14" s="148"/>
      <c r="T14" s="148" t="s">
        <v>700</v>
      </c>
      <c r="U14" s="148"/>
      <c r="V14" s="148"/>
      <c r="W14" s="148" t="s">
        <v>27</v>
      </c>
      <c r="X14" s="148"/>
      <c r="Y14" s="148"/>
      <c r="Z14" s="148" t="s">
        <v>475</v>
      </c>
      <c r="AA14" s="148"/>
      <c r="AB14" s="148"/>
      <c r="AC14" s="148" t="s">
        <v>476</v>
      </c>
      <c r="AD14" s="148"/>
      <c r="AE14" s="148"/>
      <c r="AF14" s="148" t="s">
        <v>520</v>
      </c>
      <c r="AG14" s="148"/>
      <c r="AH14" s="148"/>
      <c r="AI14" s="148"/>
      <c r="AJ14" s="148"/>
      <c r="AK14" s="148"/>
      <c r="AL14" s="63"/>
      <c r="AM14" s="63"/>
      <c r="AN14" s="63"/>
      <c r="AO14" s="63"/>
      <c r="AP14" s="63"/>
      <c r="AQ14" s="63"/>
      <c r="AS14" s="37" t="s">
        <v>474</v>
      </c>
      <c r="AT14" s="37"/>
      <c r="AU14" s="37"/>
      <c r="AV14" s="37"/>
      <c r="AW14" s="149" t="n">
        <v>40</v>
      </c>
      <c r="AX14" s="149"/>
      <c r="AY14" s="149"/>
      <c r="AZ14" s="149" t="n">
        <v>35</v>
      </c>
      <c r="BA14" s="149"/>
      <c r="BB14" s="149"/>
      <c r="BC14" s="149" t="n">
        <v>25</v>
      </c>
      <c r="BD14" s="149"/>
      <c r="BE14" s="149"/>
      <c r="BF14" s="149" t="n">
        <v>20</v>
      </c>
      <c r="BG14" s="149"/>
      <c r="BH14" s="149"/>
      <c r="BI14" s="149" t="n">
        <v>35</v>
      </c>
      <c r="BJ14" s="149"/>
      <c r="BK14" s="149"/>
      <c r="BL14" s="149" t="n">
        <v>25</v>
      </c>
      <c r="BM14" s="149"/>
      <c r="BN14" s="149"/>
      <c r="BO14" s="149" t="n">
        <v>20</v>
      </c>
      <c r="BP14" s="149"/>
      <c r="BQ14" s="149"/>
      <c r="BR14" s="149" t="n">
        <v>30</v>
      </c>
      <c r="BS14" s="149"/>
      <c r="BT14" s="149"/>
      <c r="BU14" s="149" t="n">
        <v>40</v>
      </c>
      <c r="BV14" s="149"/>
      <c r="BW14" s="149"/>
      <c r="BX14" s="149" t="n">
        <v>50</v>
      </c>
      <c r="BY14" s="149"/>
      <c r="BZ14" s="149"/>
      <c r="CA14" s="149"/>
      <c r="CB14" s="149"/>
      <c r="CC14" s="149" t="s">
        <v>474</v>
      </c>
      <c r="CD14" s="37" t="s">
        <v>474</v>
      </c>
      <c r="CE14" s="37"/>
      <c r="CF14" s="37"/>
      <c r="CG14" s="37"/>
      <c r="CH14" s="37"/>
      <c r="CI14" s="37"/>
      <c r="CK14" s="37" t="s">
        <v>474</v>
      </c>
      <c r="CL14" s="37"/>
      <c r="CM14" s="37"/>
      <c r="CN14" s="37"/>
      <c r="CO14" s="115" t="s">
        <v>7</v>
      </c>
      <c r="CP14" s="115"/>
      <c r="CQ14" s="115"/>
      <c r="CR14" s="115" t="s">
        <v>384</v>
      </c>
      <c r="CS14" s="115"/>
      <c r="CT14" s="115"/>
      <c r="CU14" s="115" t="s">
        <v>353</v>
      </c>
      <c r="CV14" s="115"/>
      <c r="CW14" s="115"/>
      <c r="CX14" s="115" t="s">
        <v>9</v>
      </c>
      <c r="CY14" s="115"/>
      <c r="CZ14" s="115"/>
      <c r="DA14" s="115" t="s">
        <v>307</v>
      </c>
      <c r="DB14" s="115"/>
      <c r="DC14" s="115"/>
      <c r="DD14" s="37" t="s">
        <v>46</v>
      </c>
      <c r="DE14" s="37"/>
      <c r="DF14" s="37"/>
      <c r="DG14" s="115" t="s">
        <v>15</v>
      </c>
      <c r="DH14" s="115"/>
      <c r="DI14" s="115"/>
      <c r="DJ14" s="115" t="s">
        <v>475</v>
      </c>
      <c r="DK14" s="115"/>
      <c r="DL14" s="115"/>
      <c r="DM14" s="115" t="s">
        <v>476</v>
      </c>
      <c r="DN14" s="115"/>
      <c r="DO14" s="115"/>
      <c r="DP14" s="115" t="s">
        <v>477</v>
      </c>
      <c r="DQ14" s="115"/>
      <c r="DR14" s="115"/>
      <c r="DS14" s="63"/>
      <c r="DT14" s="63"/>
      <c r="DU14" s="63" t="s">
        <v>474</v>
      </c>
      <c r="DV14" s="37" t="s">
        <v>474</v>
      </c>
      <c r="DW14" s="37"/>
      <c r="DX14" s="37"/>
      <c r="DY14" s="37"/>
      <c r="DZ14" s="37"/>
      <c r="EA14" s="37"/>
    </row>
    <row r="15" customFormat="false" ht="12.8" hidden="false" customHeight="false" outlineLevel="0" collapsed="false">
      <c r="A15" s="63"/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1"/>
      <c r="O15" s="1"/>
      <c r="P15" s="1"/>
      <c r="Q15" s="1"/>
      <c r="R15" s="1"/>
      <c r="S15" s="1"/>
      <c r="T15" s="1"/>
      <c r="U15" s="1"/>
      <c r="V15" s="1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44"/>
      <c r="AJ15" s="44"/>
      <c r="AK15" s="44"/>
      <c r="AL15" s="63" t="s">
        <v>487</v>
      </c>
      <c r="AM15" s="63"/>
      <c r="AN15" s="63"/>
      <c r="AO15" s="44"/>
      <c r="AP15" s="44"/>
      <c r="AQ15" s="44"/>
      <c r="AS15" s="37" t="s">
        <v>478</v>
      </c>
      <c r="AT15" s="37" t="s">
        <v>479</v>
      </c>
      <c r="AU15" s="37"/>
      <c r="AV15" s="37"/>
      <c r="AW15" s="37" t="s">
        <v>480</v>
      </c>
      <c r="AX15" s="37"/>
      <c r="AY15" s="37"/>
      <c r="AZ15" s="37" t="s">
        <v>481</v>
      </c>
      <c r="BA15" s="37"/>
      <c r="BB15" s="37"/>
      <c r="BC15" s="42" t="s">
        <v>482</v>
      </c>
      <c r="BD15" s="42"/>
      <c r="BE15" s="42"/>
      <c r="BF15" s="37" t="s">
        <v>483</v>
      </c>
      <c r="BG15" s="37"/>
      <c r="BH15" s="37" t="s">
        <v>484</v>
      </c>
      <c r="BI15" s="37"/>
      <c r="BJ15" s="37"/>
      <c r="BK15" s="37"/>
      <c r="BL15" s="37"/>
      <c r="BM15" s="37"/>
      <c r="BN15" s="37" t="s">
        <v>485</v>
      </c>
      <c r="BO15" s="42" t="s">
        <v>485</v>
      </c>
      <c r="BP15" s="42"/>
      <c r="BQ15" s="42"/>
      <c r="BR15" s="43" t="s">
        <v>486</v>
      </c>
      <c r="BS15" s="43"/>
      <c r="BT15" s="43"/>
      <c r="BU15" s="37" t="s">
        <v>481</v>
      </c>
      <c r="BV15" s="37"/>
      <c r="BW15" s="37"/>
      <c r="BX15" s="37" t="s">
        <v>478</v>
      </c>
      <c r="BY15" s="37"/>
      <c r="BZ15" s="37"/>
      <c r="CA15" s="44"/>
      <c r="CB15" s="44"/>
      <c r="CC15" s="44"/>
      <c r="CD15" s="63" t="s">
        <v>487</v>
      </c>
      <c r="CE15" s="63"/>
      <c r="CF15" s="63"/>
      <c r="CG15" s="44"/>
      <c r="CH15" s="44"/>
      <c r="CI15" s="44"/>
      <c r="CK15" s="37" t="s">
        <v>478</v>
      </c>
      <c r="CL15" s="37" t="s">
        <v>479</v>
      </c>
      <c r="CM15" s="37"/>
      <c r="CN15" s="37"/>
      <c r="CO15" s="37" t="s">
        <v>480</v>
      </c>
      <c r="CP15" s="37"/>
      <c r="CQ15" s="37"/>
      <c r="CR15" s="37" t="s">
        <v>481</v>
      </c>
      <c r="CS15" s="37"/>
      <c r="CT15" s="37"/>
      <c r="CU15" s="42" t="s">
        <v>482</v>
      </c>
      <c r="CV15" s="42"/>
      <c r="CW15" s="42"/>
      <c r="CX15" s="37" t="s">
        <v>483</v>
      </c>
      <c r="CY15" s="37"/>
      <c r="CZ15" s="37" t="s">
        <v>484</v>
      </c>
      <c r="DA15" s="37"/>
      <c r="DB15" s="37"/>
      <c r="DC15" s="37"/>
      <c r="DD15" s="37"/>
      <c r="DE15" s="37"/>
      <c r="DF15" s="37" t="s">
        <v>485</v>
      </c>
      <c r="DG15" s="42" t="s">
        <v>485</v>
      </c>
      <c r="DH15" s="42"/>
      <c r="DI15" s="42"/>
      <c r="DJ15" s="43" t="s">
        <v>486</v>
      </c>
      <c r="DK15" s="43"/>
      <c r="DL15" s="43"/>
      <c r="DM15" s="37" t="s">
        <v>481</v>
      </c>
      <c r="DN15" s="37"/>
      <c r="DO15" s="37"/>
      <c r="DP15" s="37" t="s">
        <v>478</v>
      </c>
      <c r="DQ15" s="37"/>
      <c r="DR15" s="37"/>
      <c r="DS15" s="63"/>
      <c r="DT15" s="63"/>
      <c r="DU15" s="63"/>
      <c r="DV15" s="63" t="s">
        <v>487</v>
      </c>
      <c r="DW15" s="63"/>
      <c r="DX15" s="63"/>
      <c r="DY15" s="63"/>
      <c r="DZ15" s="63"/>
      <c r="EA15" s="63"/>
    </row>
    <row r="16" customFormat="false" ht="12.8" hidden="false" customHeight="false" outlineLevel="0" collapsed="false">
      <c r="A16" s="63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1"/>
      <c r="O16" s="1"/>
      <c r="P16" s="1"/>
      <c r="Q16" s="1"/>
      <c r="R16" s="1"/>
      <c r="S16" s="1"/>
      <c r="T16" s="1"/>
      <c r="U16" s="1"/>
      <c r="V16" s="1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 t="s">
        <v>402</v>
      </c>
      <c r="AJ16" s="63"/>
      <c r="AK16" s="63" t="s">
        <v>488</v>
      </c>
      <c r="AL16" s="63" t="s">
        <v>488</v>
      </c>
      <c r="AM16" s="63"/>
      <c r="AN16" s="63"/>
      <c r="AO16" s="63" t="s">
        <v>400</v>
      </c>
      <c r="AP16" s="63"/>
      <c r="AQ16" s="63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42"/>
      <c r="BD16" s="42"/>
      <c r="BE16" s="42"/>
      <c r="BF16" s="37"/>
      <c r="BG16" s="37"/>
      <c r="BH16" s="37"/>
      <c r="BI16" s="37"/>
      <c r="BJ16" s="37"/>
      <c r="BK16" s="37"/>
      <c r="BL16" s="37"/>
      <c r="BM16" s="37"/>
      <c r="BN16" s="37"/>
      <c r="BO16" s="42"/>
      <c r="BP16" s="42"/>
      <c r="BQ16" s="42"/>
      <c r="BR16" s="43"/>
      <c r="BS16" s="43"/>
      <c r="BT16" s="43"/>
      <c r="BU16" s="37"/>
      <c r="BV16" s="37"/>
      <c r="BW16" s="37"/>
      <c r="BX16" s="37"/>
      <c r="BY16" s="37"/>
      <c r="BZ16" s="37"/>
      <c r="CA16" s="63" t="s">
        <v>402</v>
      </c>
      <c r="CB16" s="63"/>
      <c r="CC16" s="63" t="s">
        <v>488</v>
      </c>
      <c r="CD16" s="63" t="s">
        <v>488</v>
      </c>
      <c r="CE16" s="63"/>
      <c r="CF16" s="63"/>
      <c r="CG16" s="63" t="s">
        <v>400</v>
      </c>
      <c r="CH16" s="63"/>
      <c r="CI16" s="63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42"/>
      <c r="CV16" s="42"/>
      <c r="CW16" s="42"/>
      <c r="CX16" s="37"/>
      <c r="CY16" s="37"/>
      <c r="CZ16" s="37"/>
      <c r="DA16" s="37"/>
      <c r="DB16" s="37"/>
      <c r="DC16" s="37"/>
      <c r="DD16" s="37"/>
      <c r="DE16" s="37"/>
      <c r="DF16" s="37"/>
      <c r="DG16" s="42"/>
      <c r="DH16" s="42"/>
      <c r="DI16" s="42"/>
      <c r="DJ16" s="43"/>
      <c r="DK16" s="43"/>
      <c r="DL16" s="43"/>
      <c r="DM16" s="37"/>
      <c r="DN16" s="37"/>
      <c r="DO16" s="37"/>
      <c r="DP16" s="37"/>
      <c r="DQ16" s="37"/>
      <c r="DR16" s="37"/>
      <c r="DS16" s="63" t="s">
        <v>402</v>
      </c>
      <c r="DT16" s="63"/>
      <c r="DU16" s="63" t="s">
        <v>488</v>
      </c>
      <c r="DV16" s="63" t="s">
        <v>488</v>
      </c>
      <c r="DW16" s="63"/>
      <c r="DX16" s="63"/>
      <c r="DY16" s="63" t="s">
        <v>400</v>
      </c>
      <c r="DZ16" s="63"/>
      <c r="EA16" s="63"/>
    </row>
    <row r="19" customFormat="false" ht="25.5" hidden="false" customHeight="true" outlineLevel="0" collapsed="false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</row>
    <row r="20" customFormat="false" ht="25.5" hidden="false" customHeight="true" outlineLevel="0" collapsed="false">
      <c r="A20" s="63"/>
      <c r="B20" s="63"/>
      <c r="C20" s="148" t="s">
        <v>805</v>
      </c>
      <c r="D20" s="148"/>
      <c r="E20" s="148"/>
      <c r="F20" s="148" t="s">
        <v>6</v>
      </c>
      <c r="G20" s="148"/>
      <c r="H20" s="148"/>
      <c r="I20" s="148" t="s">
        <v>209</v>
      </c>
      <c r="J20" s="148"/>
      <c r="K20" s="148"/>
      <c r="L20" s="148" t="s">
        <v>284</v>
      </c>
      <c r="M20" s="148"/>
      <c r="N20" s="148"/>
      <c r="O20" s="148" t="s">
        <v>5</v>
      </c>
      <c r="P20" s="148"/>
      <c r="Q20" s="148"/>
      <c r="R20" s="148" t="s">
        <v>47</v>
      </c>
      <c r="S20" s="148"/>
      <c r="T20" s="148"/>
      <c r="U20" s="148" t="s">
        <v>29</v>
      </c>
      <c r="V20" s="148"/>
      <c r="W20" s="148"/>
      <c r="X20" s="148" t="s">
        <v>14</v>
      </c>
      <c r="Y20" s="148"/>
      <c r="Z20" s="148"/>
      <c r="AA20" s="148" t="s">
        <v>31</v>
      </c>
      <c r="AB20" s="148"/>
      <c r="AC20" s="148"/>
      <c r="AD20" s="148" t="s">
        <v>806</v>
      </c>
      <c r="AE20" s="148"/>
      <c r="AF20" s="148"/>
      <c r="AG20" s="148"/>
      <c r="AH20" s="148"/>
      <c r="AI20" s="148"/>
      <c r="AJ20" s="148"/>
      <c r="AK20" s="148"/>
      <c r="AL20" s="148"/>
      <c r="AM20" s="63"/>
      <c r="AN20" s="63"/>
      <c r="AO20" s="63"/>
      <c r="AP20" s="63"/>
      <c r="AQ20" s="63"/>
    </row>
    <row r="21" customFormat="false" ht="25.5" hidden="false" customHeight="true" outlineLevel="0" collapsed="false">
      <c r="A21" s="148"/>
      <c r="B21" s="148"/>
      <c r="C21" s="148"/>
      <c r="D21" s="148" t="s">
        <v>13</v>
      </c>
      <c r="E21" s="148"/>
      <c r="F21" s="148"/>
      <c r="G21" s="148" t="s">
        <v>8</v>
      </c>
      <c r="H21" s="148"/>
      <c r="I21" s="148"/>
      <c r="J21" s="148" t="s">
        <v>4</v>
      </c>
      <c r="K21" s="148"/>
      <c r="L21" s="148"/>
      <c r="M21" s="150" t="s">
        <v>105</v>
      </c>
      <c r="N21" s="150"/>
      <c r="O21" s="150"/>
      <c r="P21" s="148" t="s">
        <v>243</v>
      </c>
      <c r="Q21" s="148"/>
      <c r="R21" s="148"/>
      <c r="S21" s="148" t="s">
        <v>462</v>
      </c>
      <c r="T21" s="148"/>
      <c r="U21" s="148"/>
      <c r="V21" s="150" t="s">
        <v>1</v>
      </c>
      <c r="W21" s="150"/>
      <c r="X21" s="150"/>
      <c r="Y21" s="148" t="s">
        <v>11</v>
      </c>
      <c r="Z21" s="148"/>
      <c r="AA21" s="148"/>
      <c r="AB21" s="148" t="s">
        <v>2</v>
      </c>
      <c r="AC21" s="148"/>
      <c r="AD21" s="148"/>
      <c r="AE21" s="148" t="s">
        <v>45</v>
      </c>
      <c r="AF21" s="148"/>
      <c r="AG21" s="148"/>
      <c r="AH21" s="148"/>
      <c r="AI21" s="148"/>
      <c r="AJ21" s="148"/>
      <c r="AK21" s="148"/>
      <c r="AL21" s="148"/>
      <c r="AM21" s="148"/>
      <c r="AN21" s="64"/>
      <c r="AO21" s="64"/>
      <c r="AP21" s="64"/>
      <c r="AQ21" s="64"/>
    </row>
    <row r="22" customFormat="false" ht="25.5" hidden="false" customHeight="true" outlineLevel="0" collapsed="false">
      <c r="A22" s="63"/>
      <c r="B22" s="63"/>
      <c r="C22" s="63"/>
      <c r="D22" s="63"/>
      <c r="E22" s="148" t="s">
        <v>7</v>
      </c>
      <c r="F22" s="148"/>
      <c r="G22" s="148"/>
      <c r="H22" s="148" t="s">
        <v>384</v>
      </c>
      <c r="I22" s="148"/>
      <c r="J22" s="148"/>
      <c r="K22" s="148" t="s">
        <v>16</v>
      </c>
      <c r="L22" s="148"/>
      <c r="M22" s="148"/>
      <c r="N22" s="148" t="s">
        <v>15</v>
      </c>
      <c r="O22" s="148"/>
      <c r="P22" s="148"/>
      <c r="Q22" s="148" t="s">
        <v>307</v>
      </c>
      <c r="R22" s="148"/>
      <c r="S22" s="148"/>
      <c r="T22" s="148" t="s">
        <v>700</v>
      </c>
      <c r="U22" s="148"/>
      <c r="V22" s="148"/>
      <c r="W22" s="148" t="s">
        <v>27</v>
      </c>
      <c r="X22" s="148"/>
      <c r="Y22" s="148"/>
      <c r="Z22" s="148" t="s">
        <v>475</v>
      </c>
      <c r="AA22" s="148"/>
      <c r="AB22" s="148"/>
      <c r="AC22" s="148" t="s">
        <v>476</v>
      </c>
      <c r="AD22" s="148"/>
      <c r="AE22" s="148"/>
      <c r="AF22" s="148" t="s">
        <v>477</v>
      </c>
      <c r="AG22" s="148"/>
      <c r="AH22" s="148"/>
      <c r="AI22" s="148"/>
      <c r="AJ22" s="148"/>
      <c r="AK22" s="148"/>
      <c r="AL22" s="63"/>
      <c r="AM22" s="63"/>
      <c r="AN22" s="63"/>
      <c r="AO22" s="63"/>
      <c r="AP22" s="63"/>
      <c r="AQ22" s="63"/>
    </row>
    <row r="23" customFormat="false" ht="12.8" hidden="false" customHeight="true" outlineLevel="0" collapsed="false">
      <c r="A23" s="63"/>
      <c r="B23" s="63"/>
      <c r="C23" s="63"/>
      <c r="D23" s="63"/>
      <c r="E23" s="63"/>
      <c r="F23" s="63"/>
      <c r="G23" s="63"/>
      <c r="H23" s="63"/>
      <c r="I23" s="63"/>
      <c r="J23" s="63"/>
      <c r="K23" s="63"/>
      <c r="L23" s="63"/>
      <c r="M23" s="63"/>
      <c r="N23" s="63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44"/>
      <c r="AJ23" s="44"/>
      <c r="AK23" s="44"/>
      <c r="AL23" s="63" t="s">
        <v>487</v>
      </c>
      <c r="AM23" s="63"/>
      <c r="AN23" s="63"/>
      <c r="AO23" s="44"/>
      <c r="AP23" s="44"/>
      <c r="AQ23" s="44"/>
    </row>
    <row r="24" customFormat="false" ht="12.8" hidden="false" customHeight="true" outlineLevel="0" collapsed="false">
      <c r="A24" s="63"/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 t="s">
        <v>402</v>
      </c>
      <c r="AJ24" s="63"/>
      <c r="AK24" s="63" t="s">
        <v>488</v>
      </c>
      <c r="AL24" s="63" t="s">
        <v>488</v>
      </c>
      <c r="AM24" s="63"/>
      <c r="AN24" s="63"/>
      <c r="AO24" s="63" t="s">
        <v>400</v>
      </c>
      <c r="AP24" s="63"/>
      <c r="AQ24" s="63"/>
    </row>
  </sheetData>
  <mergeCells count="552"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T2:AU2"/>
    <mergeCell ref="AV2:AW2"/>
    <mergeCell ref="AX2:AY2"/>
    <mergeCell ref="AZ2:BA2"/>
    <mergeCell ref="BB2:BC2"/>
    <mergeCell ref="BD2:BE2"/>
    <mergeCell ref="BF2:BG2"/>
    <mergeCell ref="BH2:BI2"/>
    <mergeCell ref="BJ2:BK2"/>
    <mergeCell ref="BL2:BM2"/>
    <mergeCell ref="BN2:BO2"/>
    <mergeCell ref="BP2:BQ2"/>
    <mergeCell ref="BR2:BS2"/>
    <mergeCell ref="BT2:BU2"/>
    <mergeCell ref="BV2:BW2"/>
    <mergeCell ref="BX2:BY2"/>
    <mergeCell ref="BZ2:CA2"/>
    <mergeCell ref="CB2:CC2"/>
    <mergeCell ref="CD2:CE2"/>
    <mergeCell ref="CF2:CG2"/>
    <mergeCell ref="CH2:CI2"/>
    <mergeCell ref="CL2:CM2"/>
    <mergeCell ref="CN2:CO2"/>
    <mergeCell ref="CP2:CQ2"/>
    <mergeCell ref="CR2:CS2"/>
    <mergeCell ref="CT2:CU2"/>
    <mergeCell ref="CV2:CW2"/>
    <mergeCell ref="CX2:CY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DR2:DS2"/>
    <mergeCell ref="DT2:DU2"/>
    <mergeCell ref="DV2:DW2"/>
    <mergeCell ref="DX2:DY2"/>
    <mergeCell ref="DZ2:EA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T3:AV3"/>
    <mergeCell ref="AW3:AY3"/>
    <mergeCell ref="AZ3:BB3"/>
    <mergeCell ref="BC3:BE3"/>
    <mergeCell ref="BF3:BH3"/>
    <mergeCell ref="BI3:BK3"/>
    <mergeCell ref="BL3:BN3"/>
    <mergeCell ref="BO3:BQ3"/>
    <mergeCell ref="BR3:BT3"/>
    <mergeCell ref="BU3:BW3"/>
    <mergeCell ref="BX3:BZ3"/>
    <mergeCell ref="CA3:CC3"/>
    <mergeCell ref="CD3:CF3"/>
    <mergeCell ref="CG3:CI3"/>
    <mergeCell ref="CL3:CN3"/>
    <mergeCell ref="CO3:CQ3"/>
    <mergeCell ref="CR3:CT3"/>
    <mergeCell ref="CU3:CW3"/>
    <mergeCell ref="CX3:CZ3"/>
    <mergeCell ref="DA3:DC3"/>
    <mergeCell ref="DD3:DF3"/>
    <mergeCell ref="DG3:DI3"/>
    <mergeCell ref="DJ3:DL3"/>
    <mergeCell ref="DM3:DO3"/>
    <mergeCell ref="DP3:DR3"/>
    <mergeCell ref="DS3:DU3"/>
    <mergeCell ref="DV3:DX3"/>
    <mergeCell ref="DY3:EA3"/>
    <mergeCell ref="A4:B4"/>
    <mergeCell ref="C4:E4"/>
    <mergeCell ref="F4:H4"/>
    <mergeCell ref="I4:K4"/>
    <mergeCell ref="L4:N4"/>
    <mergeCell ref="O4:Q4"/>
    <mergeCell ref="R4:T4"/>
    <mergeCell ref="U4:W4"/>
    <mergeCell ref="X4:Z4"/>
    <mergeCell ref="AA4:AC4"/>
    <mergeCell ref="AD4:AF4"/>
    <mergeCell ref="AG4:AI4"/>
    <mergeCell ref="AJ4:AL4"/>
    <mergeCell ref="AM4:AQ4"/>
    <mergeCell ref="AS4:AT4"/>
    <mergeCell ref="AU4:AW4"/>
    <mergeCell ref="AX4:AZ4"/>
    <mergeCell ref="BA4:BC4"/>
    <mergeCell ref="BD4:BF4"/>
    <mergeCell ref="BG4:BI4"/>
    <mergeCell ref="BJ4:BL4"/>
    <mergeCell ref="BM4:BO4"/>
    <mergeCell ref="BP4:BR4"/>
    <mergeCell ref="BS4:BU4"/>
    <mergeCell ref="BV4:BX4"/>
    <mergeCell ref="BY4:CA4"/>
    <mergeCell ref="CB4:CD4"/>
    <mergeCell ref="CE4:CI4"/>
    <mergeCell ref="CK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DQ4:DS4"/>
    <mergeCell ref="DT4:DV4"/>
    <mergeCell ref="DW4:EA4"/>
    <mergeCell ref="A5:C5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Q5"/>
    <mergeCell ref="AS5:AU5"/>
    <mergeCell ref="AV5:AX5"/>
    <mergeCell ref="AY5:BA5"/>
    <mergeCell ref="BB5:BD5"/>
    <mergeCell ref="BE5:BG5"/>
    <mergeCell ref="BH5:BJ5"/>
    <mergeCell ref="BK5:BM5"/>
    <mergeCell ref="BN5:BP5"/>
    <mergeCell ref="BQ5:BS5"/>
    <mergeCell ref="BT5:BV5"/>
    <mergeCell ref="BW5:BY5"/>
    <mergeCell ref="BZ5:CB5"/>
    <mergeCell ref="CC5:CE5"/>
    <mergeCell ref="CF5:CI5"/>
    <mergeCell ref="CK5:CM5"/>
    <mergeCell ref="CN5:CP5"/>
    <mergeCell ref="CQ5:CS5"/>
    <mergeCell ref="CT5:CV5"/>
    <mergeCell ref="CW5:CY5"/>
    <mergeCell ref="CZ5:DB5"/>
    <mergeCell ref="DC5:DE5"/>
    <mergeCell ref="DF5:DH5"/>
    <mergeCell ref="DI5:DK5"/>
    <mergeCell ref="DL5:DN5"/>
    <mergeCell ref="DO5:DQ5"/>
    <mergeCell ref="DR5:DT5"/>
    <mergeCell ref="DU5:DW5"/>
    <mergeCell ref="DX5:EA5"/>
    <mergeCell ref="A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Q6"/>
    <mergeCell ref="AS6:AV6"/>
    <mergeCell ref="AW6:AY6"/>
    <mergeCell ref="AZ6:BB6"/>
    <mergeCell ref="BC6:BE6"/>
    <mergeCell ref="BF6:BH6"/>
    <mergeCell ref="BI6:BK6"/>
    <mergeCell ref="BL6:BN6"/>
    <mergeCell ref="BO6:BQ6"/>
    <mergeCell ref="BR6:BT6"/>
    <mergeCell ref="BU6:BW6"/>
    <mergeCell ref="BX6:BZ6"/>
    <mergeCell ref="CA6:CC6"/>
    <mergeCell ref="CD6:CI6"/>
    <mergeCell ref="CK6:CN6"/>
    <mergeCell ref="CO6:CQ6"/>
    <mergeCell ref="CR6:CT6"/>
    <mergeCell ref="CU6:CW6"/>
    <mergeCell ref="CX6:CZ6"/>
    <mergeCell ref="DA6:DC6"/>
    <mergeCell ref="DD6:DF6"/>
    <mergeCell ref="DG6:DI6"/>
    <mergeCell ref="DJ6:DL6"/>
    <mergeCell ref="DM6:DO6"/>
    <mergeCell ref="DP6:DR6"/>
    <mergeCell ref="DS6:DU6"/>
    <mergeCell ref="DV6:EA6"/>
    <mergeCell ref="A7:A8"/>
    <mergeCell ref="B7:D8"/>
    <mergeCell ref="E7:G8"/>
    <mergeCell ref="H7:J8"/>
    <mergeCell ref="K7:M8"/>
    <mergeCell ref="N7:V8"/>
    <mergeCell ref="W7:Y8"/>
    <mergeCell ref="Z7:AB8"/>
    <mergeCell ref="AC7:AE8"/>
    <mergeCell ref="AF7:AH8"/>
    <mergeCell ref="AI7:AK7"/>
    <mergeCell ref="AL7:AN7"/>
    <mergeCell ref="AS7:AS8"/>
    <mergeCell ref="AT7:AV8"/>
    <mergeCell ref="AW7:AY8"/>
    <mergeCell ref="AZ7:BB8"/>
    <mergeCell ref="BC7:BE8"/>
    <mergeCell ref="BF7:BN8"/>
    <mergeCell ref="BO7:BQ8"/>
    <mergeCell ref="BR7:BT8"/>
    <mergeCell ref="BU7:BW8"/>
    <mergeCell ref="BX7:BZ8"/>
    <mergeCell ref="CA7:CC7"/>
    <mergeCell ref="CD7:CF7"/>
    <mergeCell ref="CK7:CK8"/>
    <mergeCell ref="CL7:CN8"/>
    <mergeCell ref="CO7:CQ8"/>
    <mergeCell ref="CR7:CT8"/>
    <mergeCell ref="CU7:CW8"/>
    <mergeCell ref="CX7:DF8"/>
    <mergeCell ref="DG7:DI8"/>
    <mergeCell ref="DJ7:DL8"/>
    <mergeCell ref="DM7:DO8"/>
    <mergeCell ref="DP7:DR8"/>
    <mergeCell ref="DS7:DU7"/>
    <mergeCell ref="DV7:DX7"/>
    <mergeCell ref="AI8:AK8"/>
    <mergeCell ref="AL8:AN8"/>
    <mergeCell ref="AO8:AQ8"/>
    <mergeCell ref="CA8:CC8"/>
    <mergeCell ref="CD8:CF8"/>
    <mergeCell ref="CG8:CI8"/>
    <mergeCell ref="DS8:DU8"/>
    <mergeCell ref="DV8:DX8"/>
    <mergeCell ref="DY8:EA8"/>
    <mergeCell ref="B11:D11"/>
    <mergeCell ref="E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AT11:AV11"/>
    <mergeCell ref="AW11:AY11"/>
    <mergeCell ref="AZ11:BB11"/>
    <mergeCell ref="BC11:BE11"/>
    <mergeCell ref="BF11:BH11"/>
    <mergeCell ref="BI11:BK11"/>
    <mergeCell ref="BL11:BN11"/>
    <mergeCell ref="BO11:BQ11"/>
    <mergeCell ref="BR11:BT11"/>
    <mergeCell ref="BU11:BW11"/>
    <mergeCell ref="BX11:BZ11"/>
    <mergeCell ref="CA11:CC11"/>
    <mergeCell ref="CD11:CF11"/>
    <mergeCell ref="CG11:CI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A12:B12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Q12"/>
    <mergeCell ref="AS12:AT12"/>
    <mergeCell ref="AU12:AW12"/>
    <mergeCell ref="AX12:AZ12"/>
    <mergeCell ref="BA12:BC12"/>
    <mergeCell ref="BD12:BF12"/>
    <mergeCell ref="BG12:BI12"/>
    <mergeCell ref="BJ12:BL12"/>
    <mergeCell ref="BM12:BO12"/>
    <mergeCell ref="BP12:BR12"/>
    <mergeCell ref="BS12:BU12"/>
    <mergeCell ref="BV12:BX12"/>
    <mergeCell ref="BY12:CA12"/>
    <mergeCell ref="CB12:CD12"/>
    <mergeCell ref="CE12:CI12"/>
    <mergeCell ref="CK12:CL12"/>
    <mergeCell ref="CM12:CO12"/>
    <mergeCell ref="CP12:CR12"/>
    <mergeCell ref="CS12:CU12"/>
    <mergeCell ref="CV12:CX12"/>
    <mergeCell ref="CY12:DA12"/>
    <mergeCell ref="DB12:DD12"/>
    <mergeCell ref="DE12:DG12"/>
    <mergeCell ref="DH12:DJ12"/>
    <mergeCell ref="DK12:DM12"/>
    <mergeCell ref="DN12:DP12"/>
    <mergeCell ref="DQ12:DS12"/>
    <mergeCell ref="DT12:DV12"/>
    <mergeCell ref="DW12:EA12"/>
    <mergeCell ref="A13:C13"/>
    <mergeCell ref="D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AE13:AG13"/>
    <mergeCell ref="AH13:AJ13"/>
    <mergeCell ref="AK13:AM13"/>
    <mergeCell ref="AN13:AQ13"/>
    <mergeCell ref="AS13:AU13"/>
    <mergeCell ref="AV13:AX13"/>
    <mergeCell ref="AY13:BA13"/>
    <mergeCell ref="BB13:BD13"/>
    <mergeCell ref="BE13:BG13"/>
    <mergeCell ref="BH13:BJ13"/>
    <mergeCell ref="BK13:BM13"/>
    <mergeCell ref="BN13:BP13"/>
    <mergeCell ref="BQ13:BS13"/>
    <mergeCell ref="BT13:BV13"/>
    <mergeCell ref="BW13:BY13"/>
    <mergeCell ref="BZ13:CB13"/>
    <mergeCell ref="CC13:CE13"/>
    <mergeCell ref="CF13:CI13"/>
    <mergeCell ref="CK13:CM13"/>
    <mergeCell ref="CN13:CP13"/>
    <mergeCell ref="CQ13:CS13"/>
    <mergeCell ref="CT13:CV13"/>
    <mergeCell ref="CW13:CY13"/>
    <mergeCell ref="CZ13:DB13"/>
    <mergeCell ref="DC13:DE13"/>
    <mergeCell ref="DF13:DH13"/>
    <mergeCell ref="DI13:DK13"/>
    <mergeCell ref="DL13:DN13"/>
    <mergeCell ref="DO13:DQ13"/>
    <mergeCell ref="DR13:DT13"/>
    <mergeCell ref="DU13:DW13"/>
    <mergeCell ref="DX13:EA13"/>
    <mergeCell ref="A14:D14"/>
    <mergeCell ref="E14:G14"/>
    <mergeCell ref="H14:J14"/>
    <mergeCell ref="K14:M14"/>
    <mergeCell ref="N14:P14"/>
    <mergeCell ref="Q14:S14"/>
    <mergeCell ref="T14:V14"/>
    <mergeCell ref="W14:Y14"/>
    <mergeCell ref="Z14:AB14"/>
    <mergeCell ref="AC14:AE14"/>
    <mergeCell ref="AF14:AH14"/>
    <mergeCell ref="AI14:AK14"/>
    <mergeCell ref="AL14:AQ14"/>
    <mergeCell ref="AS14:AV14"/>
    <mergeCell ref="AW14:AY14"/>
    <mergeCell ref="AZ14:BB14"/>
    <mergeCell ref="BC14:BE14"/>
    <mergeCell ref="BF14:BH14"/>
    <mergeCell ref="BI14:BK14"/>
    <mergeCell ref="BL14:BN14"/>
    <mergeCell ref="BO14:BQ14"/>
    <mergeCell ref="BR14:BT14"/>
    <mergeCell ref="BU14:BW14"/>
    <mergeCell ref="BX14:BZ14"/>
    <mergeCell ref="CA14:CC14"/>
    <mergeCell ref="CD14:CI14"/>
    <mergeCell ref="CK14:CN14"/>
    <mergeCell ref="CO14:CQ14"/>
    <mergeCell ref="CR14:CT14"/>
    <mergeCell ref="CU14:CW14"/>
    <mergeCell ref="CX14:CZ14"/>
    <mergeCell ref="DA14:DC14"/>
    <mergeCell ref="DD14:DF14"/>
    <mergeCell ref="DG14:DI14"/>
    <mergeCell ref="DJ14:DL14"/>
    <mergeCell ref="DM14:DO14"/>
    <mergeCell ref="DP14:DR14"/>
    <mergeCell ref="DS14:DU14"/>
    <mergeCell ref="DV14:EA14"/>
    <mergeCell ref="A15:A16"/>
    <mergeCell ref="B15:D16"/>
    <mergeCell ref="E15:G16"/>
    <mergeCell ref="H15:J16"/>
    <mergeCell ref="K15:M16"/>
    <mergeCell ref="W15:Y16"/>
    <mergeCell ref="Z15:AB16"/>
    <mergeCell ref="AC15:AE16"/>
    <mergeCell ref="AF15:AH16"/>
    <mergeCell ref="AI15:AK15"/>
    <mergeCell ref="AL15:AN15"/>
    <mergeCell ref="AS15:AS16"/>
    <mergeCell ref="AT15:AV16"/>
    <mergeCell ref="AW15:AY16"/>
    <mergeCell ref="AZ15:BB16"/>
    <mergeCell ref="BC15:BE16"/>
    <mergeCell ref="BF15:BN16"/>
    <mergeCell ref="BO15:BQ16"/>
    <mergeCell ref="BR15:BT16"/>
    <mergeCell ref="BU15:BW16"/>
    <mergeCell ref="BX15:BZ16"/>
    <mergeCell ref="CA15:CC15"/>
    <mergeCell ref="CD15:CF15"/>
    <mergeCell ref="CK15:CK16"/>
    <mergeCell ref="CL15:CN16"/>
    <mergeCell ref="CO15:CQ16"/>
    <mergeCell ref="CR15:CT16"/>
    <mergeCell ref="CU15:CW16"/>
    <mergeCell ref="CX15:DF16"/>
    <mergeCell ref="DG15:DI16"/>
    <mergeCell ref="DJ15:DL16"/>
    <mergeCell ref="DM15:DO16"/>
    <mergeCell ref="DP15:DR16"/>
    <mergeCell ref="DS15:DU15"/>
    <mergeCell ref="DV15:DX15"/>
    <mergeCell ref="AI16:AK16"/>
    <mergeCell ref="AL16:AN16"/>
    <mergeCell ref="AO16:AQ16"/>
    <mergeCell ref="CA16:CC16"/>
    <mergeCell ref="CD16:CF16"/>
    <mergeCell ref="CG16:CI16"/>
    <mergeCell ref="DS16:DU16"/>
    <mergeCell ref="DV16:DX16"/>
    <mergeCell ref="DY16:EA16"/>
    <mergeCell ref="B19:D19"/>
    <mergeCell ref="E19:G19"/>
    <mergeCell ref="H19:J19"/>
    <mergeCell ref="K19:M19"/>
    <mergeCell ref="N19:P19"/>
    <mergeCell ref="Q19:S19"/>
    <mergeCell ref="T19:V19"/>
    <mergeCell ref="W19:Y19"/>
    <mergeCell ref="Z19:AB19"/>
    <mergeCell ref="AC19:AE19"/>
    <mergeCell ref="AF19:AH19"/>
    <mergeCell ref="AI19:AK19"/>
    <mergeCell ref="AL19:AN19"/>
    <mergeCell ref="AO19:AQ19"/>
    <mergeCell ref="A20:B20"/>
    <mergeCell ref="C20:E20"/>
    <mergeCell ref="F20:H20"/>
    <mergeCell ref="I20:K20"/>
    <mergeCell ref="L20:N20"/>
    <mergeCell ref="O20:Q20"/>
    <mergeCell ref="R20:T20"/>
    <mergeCell ref="U20:W20"/>
    <mergeCell ref="X20:Z20"/>
    <mergeCell ref="AA20:AC20"/>
    <mergeCell ref="AD20:AF20"/>
    <mergeCell ref="AG20:AI20"/>
    <mergeCell ref="AJ20:AL20"/>
    <mergeCell ref="AM20:AQ20"/>
    <mergeCell ref="A21:C21"/>
    <mergeCell ref="D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AE21:AG21"/>
    <mergeCell ref="AH21:AJ21"/>
    <mergeCell ref="AK21:AM21"/>
    <mergeCell ref="AN21:AQ21"/>
    <mergeCell ref="A22:D22"/>
    <mergeCell ref="E22:G22"/>
    <mergeCell ref="H22:J22"/>
    <mergeCell ref="K22:M22"/>
    <mergeCell ref="N22:P22"/>
    <mergeCell ref="Q22:S22"/>
    <mergeCell ref="T22:V22"/>
    <mergeCell ref="W22:Y22"/>
    <mergeCell ref="Z22:AB22"/>
    <mergeCell ref="AC22:AE22"/>
    <mergeCell ref="AF22:AH22"/>
    <mergeCell ref="AI22:AK22"/>
    <mergeCell ref="AL22:AQ22"/>
    <mergeCell ref="A23:A24"/>
    <mergeCell ref="B23:D24"/>
    <mergeCell ref="E23:G24"/>
    <mergeCell ref="H23:J24"/>
    <mergeCell ref="K23:M24"/>
    <mergeCell ref="N23:V24"/>
    <mergeCell ref="W23:Y24"/>
    <mergeCell ref="Z23:AB24"/>
    <mergeCell ref="AC23:AE24"/>
    <mergeCell ref="AF23:AH24"/>
    <mergeCell ref="AI23:AK23"/>
    <mergeCell ref="AL23:AN23"/>
    <mergeCell ref="AI24:AK24"/>
    <mergeCell ref="AL24:AN24"/>
    <mergeCell ref="AO24:AQ2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K28" activeCellId="1" sqref="AS19:CI24 K28"/>
    </sheetView>
  </sheetViews>
  <sheetFormatPr defaultColWidth="11.53515625" defaultRowHeight="12.8" customHeight="true" zeroHeight="false" outlineLevelRow="0" outlineLevelCol="0"/>
  <sheetData>
    <row r="1" customFormat="false" ht="13" hidden="false" customHeight="false" outlineLevel="0" collapsed="false">
      <c r="A1" s="120" t="s">
        <v>807</v>
      </c>
      <c r="B1" s="120" t="s">
        <v>808</v>
      </c>
      <c r="C1" s="120" t="s">
        <v>809</v>
      </c>
    </row>
    <row r="2" customFormat="false" ht="13" hidden="false" customHeight="false" outlineLevel="0" collapsed="false">
      <c r="A2" s="129" t="s">
        <v>810</v>
      </c>
      <c r="B2" s="25"/>
      <c r="C2" s="25" t="n">
        <v>2120</v>
      </c>
      <c r="D2" s="152" t="n">
        <f aca="false">C2/$C$63</f>
        <v>0.183422737497837</v>
      </c>
    </row>
    <row r="3" customFormat="false" ht="13" hidden="false" customHeight="false" outlineLevel="0" collapsed="false">
      <c r="A3" s="129" t="s">
        <v>811</v>
      </c>
      <c r="B3" s="129" t="s">
        <v>812</v>
      </c>
      <c r="C3" s="25" t="n">
        <v>1078</v>
      </c>
      <c r="D3" s="152" t="n">
        <f aca="false">C3/$C$63</f>
        <v>0.0932687316144662</v>
      </c>
    </row>
    <row r="4" customFormat="false" ht="13" hidden="false" customHeight="false" outlineLevel="0" collapsed="false">
      <c r="A4" s="129" t="s">
        <v>813</v>
      </c>
      <c r="B4" s="129" t="s">
        <v>814</v>
      </c>
      <c r="C4" s="25" t="n">
        <v>867</v>
      </c>
      <c r="D4" s="152" t="n">
        <f aca="false">C4/$C$63</f>
        <v>0.0750129780238796</v>
      </c>
    </row>
    <row r="5" customFormat="false" ht="13" hidden="false" customHeight="false" outlineLevel="0" collapsed="false">
      <c r="A5" s="129" t="s">
        <v>815</v>
      </c>
      <c r="B5" s="129" t="s">
        <v>816</v>
      </c>
      <c r="C5" s="25" t="n">
        <v>696</v>
      </c>
      <c r="D5" s="152" t="n">
        <f aca="false">C5/$C$63</f>
        <v>0.0602180308011767</v>
      </c>
    </row>
    <row r="6" customFormat="false" ht="13" hidden="false" customHeight="false" outlineLevel="0" collapsed="false">
      <c r="A6" s="129" t="s">
        <v>817</v>
      </c>
      <c r="B6" s="129" t="s">
        <v>818</v>
      </c>
      <c r="C6" s="25" t="n">
        <v>678</v>
      </c>
      <c r="D6" s="152" t="n">
        <f aca="false">C6/$C$63</f>
        <v>0.058660667935629</v>
      </c>
    </row>
    <row r="7" customFormat="false" ht="13" hidden="false" customHeight="false" outlineLevel="0" collapsed="false">
      <c r="A7" s="129" t="s">
        <v>819</v>
      </c>
      <c r="B7" s="129" t="s">
        <v>820</v>
      </c>
      <c r="C7" s="25" t="n">
        <v>592</v>
      </c>
      <c r="D7" s="152" t="n">
        <f aca="false">C7/$C$63</f>
        <v>0.051219934244679</v>
      </c>
    </row>
    <row r="8" customFormat="false" ht="13" hidden="false" customHeight="false" outlineLevel="0" collapsed="false">
      <c r="A8" s="129" t="s">
        <v>821</v>
      </c>
      <c r="B8" s="129" t="s">
        <v>822</v>
      </c>
      <c r="C8" s="25" t="n">
        <v>561</v>
      </c>
      <c r="D8" s="152" t="n">
        <f aca="false">C8/$C$63</f>
        <v>0.0485378093095691</v>
      </c>
    </row>
    <row r="9" customFormat="false" ht="13" hidden="false" customHeight="false" outlineLevel="0" collapsed="false">
      <c r="A9" s="129" t="s">
        <v>823</v>
      </c>
      <c r="B9" s="129" t="s">
        <v>824</v>
      </c>
      <c r="C9" s="25" t="n">
        <v>558</v>
      </c>
      <c r="D9" s="152" t="n">
        <f aca="false">C9/$C$63</f>
        <v>0.0482782488319779</v>
      </c>
    </row>
    <row r="10" customFormat="false" ht="13" hidden="false" customHeight="false" outlineLevel="0" collapsed="false">
      <c r="A10" s="129" t="s">
        <v>825</v>
      </c>
      <c r="B10" s="129" t="s">
        <v>826</v>
      </c>
      <c r="C10" s="25" t="n">
        <v>506</v>
      </c>
      <c r="D10" s="152" t="n">
        <f aca="false">C10/$C$63</f>
        <v>0.043779200553729</v>
      </c>
    </row>
    <row r="11" customFormat="false" ht="13" hidden="false" customHeight="false" outlineLevel="0" collapsed="false">
      <c r="A11" s="129" t="s">
        <v>827</v>
      </c>
      <c r="B11" s="129" t="s">
        <v>828</v>
      </c>
      <c r="C11" s="25" t="n">
        <v>453</v>
      </c>
      <c r="D11" s="152" t="n">
        <f aca="false">C11/$C$63</f>
        <v>0.0391936321162831</v>
      </c>
    </row>
    <row r="12" customFormat="false" ht="13" hidden="false" customHeight="false" outlineLevel="0" collapsed="false">
      <c r="A12" s="129" t="s">
        <v>829</v>
      </c>
      <c r="B12" s="129" t="s">
        <v>830</v>
      </c>
      <c r="C12" s="25" t="n">
        <v>418</v>
      </c>
      <c r="D12" s="152" t="n">
        <f aca="false">C12/$C$63</f>
        <v>0.0361654265443848</v>
      </c>
    </row>
    <row r="13" customFormat="false" ht="13" hidden="false" customHeight="false" outlineLevel="0" collapsed="false">
      <c r="A13" s="129" t="s">
        <v>831</v>
      </c>
      <c r="B13" s="129" t="s">
        <v>832</v>
      </c>
      <c r="C13" s="25" t="n">
        <v>387</v>
      </c>
      <c r="D13" s="152" t="n">
        <f aca="false">C13/$C$63</f>
        <v>0.033483301609275</v>
      </c>
    </row>
    <row r="14" customFormat="false" ht="13" hidden="false" customHeight="false" outlineLevel="0" collapsed="false">
      <c r="A14" s="129" t="s">
        <v>833</v>
      </c>
      <c r="B14" s="129" t="s">
        <v>834</v>
      </c>
      <c r="C14" s="25" t="n">
        <v>252</v>
      </c>
      <c r="D14" s="152" t="n">
        <f aca="false">C14/$C$63</f>
        <v>0.0218030801176674</v>
      </c>
    </row>
    <row r="15" customFormat="false" ht="13" hidden="false" customHeight="false" outlineLevel="0" collapsed="false">
      <c r="A15" s="129" t="s">
        <v>835</v>
      </c>
      <c r="B15" s="129" t="s">
        <v>836</v>
      </c>
      <c r="C15" s="25" t="n">
        <v>249</v>
      </c>
      <c r="D15" s="152" t="n">
        <f aca="false">C15/$C$63</f>
        <v>0.0215435196400761</v>
      </c>
    </row>
    <row r="16" customFormat="false" ht="13" hidden="false" customHeight="false" outlineLevel="0" collapsed="false">
      <c r="A16" s="129" t="s">
        <v>837</v>
      </c>
      <c r="B16" s="129" t="s">
        <v>838</v>
      </c>
      <c r="C16" s="25" t="n">
        <v>202</v>
      </c>
      <c r="D16" s="152" t="n">
        <f aca="false">C16/$C$63</f>
        <v>0.0174770721578128</v>
      </c>
    </row>
    <row r="17" customFormat="false" ht="13" hidden="false" customHeight="false" outlineLevel="0" collapsed="false">
      <c r="A17" s="129" t="s">
        <v>839</v>
      </c>
      <c r="B17" s="129" t="s">
        <v>840</v>
      </c>
      <c r="C17" s="25" t="n">
        <v>186</v>
      </c>
      <c r="D17" s="152" t="n">
        <f aca="false">C17/$C$63</f>
        <v>0.0160927496106593</v>
      </c>
    </row>
    <row r="18" customFormat="false" ht="13" hidden="false" customHeight="false" outlineLevel="0" collapsed="false">
      <c r="A18" s="129" t="s">
        <v>841</v>
      </c>
      <c r="B18" s="129" t="s">
        <v>842</v>
      </c>
      <c r="C18" s="25" t="n">
        <v>178</v>
      </c>
      <c r="D18" s="152" t="n">
        <f aca="false">C18/$C$63</f>
        <v>0.0154005883370825</v>
      </c>
    </row>
    <row r="19" customFormat="false" ht="13" hidden="false" customHeight="false" outlineLevel="0" collapsed="false">
      <c r="A19" s="129" t="s">
        <v>843</v>
      </c>
      <c r="B19" s="129" t="s">
        <v>844</v>
      </c>
      <c r="C19" s="25" t="n">
        <v>171</v>
      </c>
      <c r="D19" s="152" t="n">
        <f aca="false">C19/$C$63</f>
        <v>0.0147949472227029</v>
      </c>
    </row>
    <row r="20" customFormat="false" ht="13" hidden="false" customHeight="false" outlineLevel="0" collapsed="false">
      <c r="A20" s="129" t="s">
        <v>845</v>
      </c>
      <c r="B20" s="129" t="s">
        <v>846</v>
      </c>
      <c r="C20" s="25" t="n">
        <v>163</v>
      </c>
      <c r="D20" s="152" t="n">
        <f aca="false">C20/$C$63</f>
        <v>0.0141027859491261</v>
      </c>
    </row>
    <row r="21" customFormat="false" ht="13" hidden="false" customHeight="false" outlineLevel="0" collapsed="false">
      <c r="A21" s="129" t="s">
        <v>847</v>
      </c>
      <c r="B21" s="129" t="s">
        <v>848</v>
      </c>
      <c r="C21" s="25" t="n">
        <v>163</v>
      </c>
      <c r="D21" s="152" t="n">
        <f aca="false">C21/$C$63</f>
        <v>0.0141027859491261</v>
      </c>
    </row>
    <row r="22" customFormat="false" ht="13" hidden="false" customHeight="false" outlineLevel="0" collapsed="false">
      <c r="A22" s="129" t="s">
        <v>849</v>
      </c>
      <c r="B22" s="129" t="s">
        <v>850</v>
      </c>
      <c r="C22" s="25" t="n">
        <v>150</v>
      </c>
      <c r="D22" s="152" t="n">
        <f aca="false">C22/$C$63</f>
        <v>0.0129780238795639</v>
      </c>
    </row>
    <row r="23" customFormat="false" ht="13" hidden="false" customHeight="false" outlineLevel="0" collapsed="false">
      <c r="A23" s="129" t="s">
        <v>851</v>
      </c>
      <c r="B23" s="129" t="s">
        <v>852</v>
      </c>
      <c r="C23" s="25" t="n">
        <v>144</v>
      </c>
      <c r="D23" s="152" t="n">
        <f aca="false">C23/$C$63</f>
        <v>0.0124589029243814</v>
      </c>
    </row>
    <row r="24" customFormat="false" ht="13" hidden="false" customHeight="false" outlineLevel="0" collapsed="false">
      <c r="A24" s="129" t="s">
        <v>853</v>
      </c>
      <c r="B24" s="129" t="s">
        <v>854</v>
      </c>
      <c r="C24" s="25" t="n">
        <v>141</v>
      </c>
      <c r="D24" s="152" t="n">
        <f aca="false">C24/$C$63</f>
        <v>0.0121993424467901</v>
      </c>
    </row>
    <row r="25" customFormat="false" ht="13" hidden="false" customHeight="false" outlineLevel="0" collapsed="false">
      <c r="A25" s="129" t="s">
        <v>855</v>
      </c>
      <c r="B25" s="129" t="s">
        <v>856</v>
      </c>
      <c r="C25" s="25" t="n">
        <v>131</v>
      </c>
      <c r="D25" s="152" t="n">
        <f aca="false">C25/$C$63</f>
        <v>0.0113341408548192</v>
      </c>
    </row>
    <row r="26" customFormat="false" ht="13" hidden="false" customHeight="false" outlineLevel="0" collapsed="false">
      <c r="A26" s="129" t="s">
        <v>857</v>
      </c>
      <c r="B26" s="129" t="s">
        <v>858</v>
      </c>
      <c r="C26" s="25" t="n">
        <v>107</v>
      </c>
      <c r="D26" s="152" t="n">
        <f aca="false">C26/$C$63</f>
        <v>0.00925765703408894</v>
      </c>
    </row>
    <row r="27" customFormat="false" ht="13" hidden="false" customHeight="false" outlineLevel="0" collapsed="false">
      <c r="A27" s="129" t="s">
        <v>859</v>
      </c>
      <c r="B27" s="129" t="s">
        <v>860</v>
      </c>
      <c r="C27" s="25" t="n">
        <v>96</v>
      </c>
      <c r="D27" s="152" t="n">
        <f aca="false">C27/$C$63</f>
        <v>0.00830593528292092</v>
      </c>
    </row>
    <row r="28" customFormat="false" ht="13" hidden="false" customHeight="false" outlineLevel="0" collapsed="false">
      <c r="A28" s="129" t="s">
        <v>861</v>
      </c>
      <c r="B28" s="129" t="s">
        <v>862</v>
      </c>
      <c r="C28" s="25" t="n">
        <v>68</v>
      </c>
      <c r="D28" s="152" t="n">
        <f aca="false">C28/$C$63</f>
        <v>0.00588337082540232</v>
      </c>
    </row>
    <row r="29" customFormat="false" ht="13" hidden="false" customHeight="false" outlineLevel="0" collapsed="false">
      <c r="A29" s="129" t="s">
        <v>863</v>
      </c>
      <c r="B29" s="129" t="s">
        <v>864</v>
      </c>
      <c r="C29" s="25" t="n">
        <v>48</v>
      </c>
      <c r="D29" s="152" t="n">
        <f aca="false">C29/$C$63</f>
        <v>0.00415296764146046</v>
      </c>
    </row>
    <row r="30" customFormat="false" ht="13" hidden="false" customHeight="false" outlineLevel="0" collapsed="false">
      <c r="A30" s="129" t="s">
        <v>865</v>
      </c>
      <c r="B30" s="129" t="s">
        <v>866</v>
      </c>
      <c r="C30" s="25" t="n">
        <v>44</v>
      </c>
      <c r="D30" s="152" t="n">
        <f aca="false">C30/$C$63</f>
        <v>0.00380688700467209</v>
      </c>
    </row>
    <row r="31" customFormat="false" ht="13" hidden="false" customHeight="false" outlineLevel="0" collapsed="false">
      <c r="A31" s="129" t="s">
        <v>867</v>
      </c>
      <c r="B31" s="129" t="s">
        <v>868</v>
      </c>
      <c r="C31" s="25" t="n">
        <v>38</v>
      </c>
      <c r="D31" s="152" t="n">
        <f aca="false">C31/$C$63</f>
        <v>0.00328776604948953</v>
      </c>
    </row>
    <row r="32" customFormat="false" ht="13" hidden="false" customHeight="false" outlineLevel="0" collapsed="false">
      <c r="A32" s="129" t="s">
        <v>869</v>
      </c>
      <c r="B32" s="129" t="s">
        <v>870</v>
      </c>
      <c r="C32" s="25" t="n">
        <v>28</v>
      </c>
      <c r="D32" s="152" t="n">
        <f aca="false">C32/$C$63</f>
        <v>0.0024225644575186</v>
      </c>
    </row>
    <row r="33" customFormat="false" ht="13" hidden="false" customHeight="false" outlineLevel="0" collapsed="false">
      <c r="A33" s="129" t="s">
        <v>871</v>
      </c>
      <c r="B33" s="129" t="s">
        <v>872</v>
      </c>
      <c r="C33" s="25" t="n">
        <v>25</v>
      </c>
      <c r="D33" s="152" t="n">
        <f aca="false">C33/$C$63</f>
        <v>0.00216300397992732</v>
      </c>
    </row>
    <row r="34" customFormat="false" ht="13" hidden="false" customHeight="false" outlineLevel="0" collapsed="false">
      <c r="A34" s="129" t="s">
        <v>873</v>
      </c>
      <c r="B34" s="129" t="s">
        <v>874</v>
      </c>
      <c r="C34" s="25" t="n">
        <v>13</v>
      </c>
      <c r="D34" s="152" t="n">
        <f aca="false">C34/$C$63</f>
        <v>0.00112476206956221</v>
      </c>
    </row>
    <row r="35" customFormat="false" ht="13" hidden="false" customHeight="false" outlineLevel="0" collapsed="false">
      <c r="A35" s="129" t="s">
        <v>875</v>
      </c>
      <c r="B35" s="129" t="s">
        <v>876</v>
      </c>
      <c r="C35" s="25" t="n">
        <v>11</v>
      </c>
      <c r="D35" s="152" t="n">
        <f aca="false">C35/$C$63</f>
        <v>0.000951721751168022</v>
      </c>
    </row>
    <row r="36" customFormat="false" ht="13" hidden="false" customHeight="false" outlineLevel="0" collapsed="false">
      <c r="A36" s="129" t="s">
        <v>877</v>
      </c>
      <c r="B36" s="129" t="s">
        <v>878</v>
      </c>
      <c r="C36" s="25" t="n">
        <v>11</v>
      </c>
      <c r="D36" s="152" t="n">
        <f aca="false">C36/$C$63</f>
        <v>0.000951721751168022</v>
      </c>
    </row>
    <row r="37" customFormat="false" ht="13" hidden="false" customHeight="false" outlineLevel="0" collapsed="false">
      <c r="A37" s="129" t="s">
        <v>879</v>
      </c>
      <c r="B37" s="129" t="s">
        <v>880</v>
      </c>
      <c r="C37" s="25" t="n">
        <v>7</v>
      </c>
      <c r="D37" s="152" t="n">
        <f aca="false">C37/$C$63</f>
        <v>0.000605641114379651</v>
      </c>
    </row>
    <row r="38" customFormat="false" ht="13" hidden="false" customHeight="false" outlineLevel="0" collapsed="false">
      <c r="A38" s="129" t="s">
        <v>881</v>
      </c>
      <c r="B38" s="129" t="s">
        <v>882</v>
      </c>
      <c r="C38" s="25" t="n">
        <v>6</v>
      </c>
      <c r="D38" s="152" t="n">
        <f aca="false">C38/$C$63</f>
        <v>0.000519120955182558</v>
      </c>
    </row>
    <row r="39" customFormat="false" ht="13" hidden="false" customHeight="false" outlineLevel="0" collapsed="false">
      <c r="A39" s="129" t="s">
        <v>883</v>
      </c>
      <c r="B39" s="129" t="s">
        <v>884</v>
      </c>
      <c r="C39" s="25" t="n">
        <v>6</v>
      </c>
      <c r="D39" s="152" t="n">
        <f aca="false">C39/$C$63</f>
        <v>0.000519120955182558</v>
      </c>
    </row>
    <row r="40" customFormat="false" ht="13" hidden="false" customHeight="false" outlineLevel="0" collapsed="false">
      <c r="A40" s="129" t="s">
        <v>885</v>
      </c>
      <c r="B40" s="129" t="s">
        <v>886</v>
      </c>
      <c r="C40" s="25" t="n">
        <v>4</v>
      </c>
      <c r="D40" s="152" t="n">
        <f aca="false">C40/$C$63</f>
        <v>0.000346080636788372</v>
      </c>
    </row>
    <row r="41" customFormat="false" ht="13" hidden="false" customHeight="false" outlineLevel="0" collapsed="false">
      <c r="A41" s="129" t="s">
        <v>887</v>
      </c>
      <c r="B41" s="129" t="s">
        <v>888</v>
      </c>
      <c r="C41" s="25" t="n">
        <v>2</v>
      </c>
      <c r="D41" s="152" t="n">
        <f aca="false">C41/$C$63</f>
        <v>0.000173040318394186</v>
      </c>
    </row>
    <row r="42" customFormat="false" ht="13" hidden="false" customHeight="false" outlineLevel="0" collapsed="false">
      <c r="A42" s="129" t="s">
        <v>889</v>
      </c>
      <c r="B42" s="129" t="s">
        <v>890</v>
      </c>
      <c r="C42" s="25" t="n">
        <v>0</v>
      </c>
      <c r="D42" s="152" t="n">
        <f aca="false">C42/$C$63</f>
        <v>0</v>
      </c>
    </row>
    <row r="43" customFormat="false" ht="13" hidden="false" customHeight="false" outlineLevel="0" collapsed="false">
      <c r="A43" s="129" t="s">
        <v>891</v>
      </c>
      <c r="B43" s="129" t="s">
        <v>480</v>
      </c>
      <c r="C43" s="25" t="n">
        <v>0</v>
      </c>
      <c r="D43" s="152" t="n">
        <f aca="false">C43/$C$63</f>
        <v>0</v>
      </c>
    </row>
    <row r="44" customFormat="false" ht="13" hidden="false" customHeight="false" outlineLevel="0" collapsed="false">
      <c r="A44" s="129" t="s">
        <v>892</v>
      </c>
      <c r="B44" s="129" t="s">
        <v>480</v>
      </c>
      <c r="C44" s="25" t="n">
        <v>0</v>
      </c>
      <c r="D44" s="152" t="n">
        <f aca="false">C44/$C$63</f>
        <v>0</v>
      </c>
    </row>
    <row r="45" customFormat="false" ht="13" hidden="false" customHeight="false" outlineLevel="0" collapsed="false">
      <c r="A45" s="129" t="s">
        <v>893</v>
      </c>
      <c r="B45" s="129" t="s">
        <v>894</v>
      </c>
      <c r="C45" s="25" t="n">
        <v>0</v>
      </c>
      <c r="D45" s="152" t="n">
        <f aca="false">C45/$C$63</f>
        <v>0</v>
      </c>
    </row>
    <row r="46" customFormat="false" ht="13" hidden="false" customHeight="false" outlineLevel="0" collapsed="false">
      <c r="A46" s="129" t="s">
        <v>895</v>
      </c>
      <c r="B46" s="129" t="s">
        <v>896</v>
      </c>
      <c r="C46" s="25" t="n">
        <v>0</v>
      </c>
      <c r="D46" s="152" t="n">
        <f aca="false">C46/$C$63</f>
        <v>0</v>
      </c>
    </row>
    <row r="47" customFormat="false" ht="13" hidden="false" customHeight="false" outlineLevel="0" collapsed="false">
      <c r="A47" s="129" t="s">
        <v>897</v>
      </c>
      <c r="B47" s="129" t="s">
        <v>898</v>
      </c>
      <c r="C47" s="25" t="n">
        <v>0</v>
      </c>
      <c r="D47" s="152" t="n">
        <f aca="false">C47/$C$63</f>
        <v>0</v>
      </c>
    </row>
    <row r="48" customFormat="false" ht="13" hidden="false" customHeight="false" outlineLevel="0" collapsed="false">
      <c r="A48" s="129" t="s">
        <v>899</v>
      </c>
      <c r="B48" s="129" t="s">
        <v>478</v>
      </c>
      <c r="C48" s="25" t="n">
        <v>0</v>
      </c>
      <c r="D48" s="152" t="n">
        <f aca="false">C48/$C$63</f>
        <v>0</v>
      </c>
    </row>
    <row r="49" customFormat="false" ht="13" hidden="false" customHeight="false" outlineLevel="0" collapsed="false">
      <c r="A49" s="129" t="s">
        <v>900</v>
      </c>
      <c r="B49" s="129" t="s">
        <v>478</v>
      </c>
      <c r="C49" s="25" t="n">
        <v>0</v>
      </c>
      <c r="D49" s="152" t="n">
        <f aca="false">C49/$C$63</f>
        <v>0</v>
      </c>
    </row>
    <row r="50" customFormat="false" ht="13" hidden="false" customHeight="false" outlineLevel="0" collapsed="false">
      <c r="A50" s="129" t="s">
        <v>901</v>
      </c>
      <c r="B50" s="129" t="s">
        <v>481</v>
      </c>
      <c r="C50" s="25" t="n">
        <v>0</v>
      </c>
      <c r="D50" s="152" t="n">
        <f aca="false">C50/$C$63</f>
        <v>0</v>
      </c>
    </row>
    <row r="51" customFormat="false" ht="13" hidden="false" customHeight="false" outlineLevel="0" collapsed="false">
      <c r="A51" s="129" t="s">
        <v>902</v>
      </c>
      <c r="B51" s="129" t="s">
        <v>903</v>
      </c>
      <c r="C51" s="25" t="n">
        <v>0</v>
      </c>
      <c r="D51" s="152" t="n">
        <f aca="false">C51/$C$63</f>
        <v>0</v>
      </c>
    </row>
    <row r="52" customFormat="false" ht="13" hidden="false" customHeight="false" outlineLevel="0" collapsed="false">
      <c r="A52" s="129" t="s">
        <v>904</v>
      </c>
      <c r="B52" s="129" t="s">
        <v>905</v>
      </c>
      <c r="C52" s="25" t="n">
        <v>0</v>
      </c>
      <c r="D52" s="152" t="n">
        <f aca="false">C52/$C$63</f>
        <v>0</v>
      </c>
    </row>
    <row r="53" customFormat="false" ht="13" hidden="false" customHeight="false" outlineLevel="0" collapsed="false">
      <c r="A53" s="129" t="s">
        <v>906</v>
      </c>
      <c r="B53" s="129" t="s">
        <v>907</v>
      </c>
      <c r="C53" s="25" t="n">
        <v>0</v>
      </c>
      <c r="D53" s="152" t="n">
        <f aca="false">C53/$C$63</f>
        <v>0</v>
      </c>
    </row>
    <row r="54" customFormat="false" ht="13" hidden="false" customHeight="false" outlineLevel="0" collapsed="false">
      <c r="A54" s="129" t="s">
        <v>908</v>
      </c>
      <c r="B54" s="129" t="s">
        <v>909</v>
      </c>
      <c r="C54" s="25" t="n">
        <v>0</v>
      </c>
      <c r="D54" s="152" t="n">
        <f aca="false">C54/$C$63</f>
        <v>0</v>
      </c>
    </row>
    <row r="55" customFormat="false" ht="13" hidden="false" customHeight="false" outlineLevel="0" collapsed="false">
      <c r="A55" s="129" t="s">
        <v>910</v>
      </c>
      <c r="B55" s="153" t="n">
        <v>0.05</v>
      </c>
      <c r="C55" s="25" t="n">
        <v>0</v>
      </c>
      <c r="D55" s="152" t="n">
        <f aca="false">C55/$C$63</f>
        <v>0</v>
      </c>
    </row>
    <row r="56" customFormat="false" ht="13" hidden="false" customHeight="false" outlineLevel="0" collapsed="false">
      <c r="A56" s="129" t="s">
        <v>911</v>
      </c>
      <c r="B56" s="129" t="s">
        <v>912</v>
      </c>
      <c r="C56" s="25" t="n">
        <v>0</v>
      </c>
      <c r="D56" s="152" t="n">
        <f aca="false">C56/$C$63</f>
        <v>0</v>
      </c>
    </row>
    <row r="57" customFormat="false" ht="13" hidden="false" customHeight="false" outlineLevel="0" collapsed="false">
      <c r="A57" s="129" t="s">
        <v>913</v>
      </c>
      <c r="B57" s="129" t="s">
        <v>914</v>
      </c>
      <c r="C57" s="25" t="n">
        <v>0</v>
      </c>
      <c r="D57" s="152" t="n">
        <f aca="false">C57/$C$63</f>
        <v>0</v>
      </c>
    </row>
    <row r="58" customFormat="false" ht="13" hidden="false" customHeight="false" outlineLevel="0" collapsed="false">
      <c r="A58" s="129" t="s">
        <v>915</v>
      </c>
      <c r="B58" s="129" t="s">
        <v>916</v>
      </c>
      <c r="C58" s="25" t="n">
        <v>0</v>
      </c>
      <c r="D58" s="152" t="n">
        <f aca="false">C58/$C$63</f>
        <v>0</v>
      </c>
    </row>
    <row r="59" customFormat="false" ht="13" hidden="false" customHeight="false" outlineLevel="0" collapsed="false">
      <c r="A59" s="129" t="s">
        <v>917</v>
      </c>
      <c r="B59" s="25" t="e">
        <f aca="false">+</f>
        <v>#N/A</v>
      </c>
      <c r="C59" s="25" t="n">
        <v>0</v>
      </c>
      <c r="D59" s="152" t="n">
        <f aca="false">C59/$C$63</f>
        <v>0</v>
      </c>
    </row>
    <row r="60" customFormat="false" ht="13" hidden="false" customHeight="false" outlineLevel="0" collapsed="false">
      <c r="A60" s="129" t="s">
        <v>918</v>
      </c>
      <c r="B60" s="129" t="s">
        <v>919</v>
      </c>
      <c r="C60" s="25" t="n">
        <v>0</v>
      </c>
      <c r="D60" s="152" t="n">
        <f aca="false">C60/$C$63</f>
        <v>0</v>
      </c>
    </row>
    <row r="61" customFormat="false" ht="13" hidden="false" customHeight="false" outlineLevel="0" collapsed="false">
      <c r="A61" s="129" t="s">
        <v>920</v>
      </c>
      <c r="B61" s="129" t="s">
        <v>921</v>
      </c>
      <c r="C61" s="25" t="n">
        <v>0</v>
      </c>
      <c r="D61" s="152" t="n">
        <f aca="false">C61/$C$63</f>
        <v>0</v>
      </c>
    </row>
    <row r="62" customFormat="false" ht="13" hidden="false" customHeight="false" outlineLevel="0" collapsed="false">
      <c r="A62" s="129" t="s">
        <v>922</v>
      </c>
      <c r="B62" s="129" t="s">
        <v>923</v>
      </c>
      <c r="C62" s="25" t="n">
        <v>0</v>
      </c>
      <c r="D62" s="152" t="n">
        <f aca="false">C62/$C$63</f>
        <v>0</v>
      </c>
    </row>
    <row r="63" customFormat="false" ht="12.8" hidden="false" customHeight="false" outlineLevel="0" collapsed="false">
      <c r="C63" s="1" t="n">
        <f aca="false">SUM(C2:C62)</f>
        <v>11558</v>
      </c>
      <c r="D63" s="152" t="n">
        <f aca="false">C63/$C$63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9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C22" activeCellId="1" sqref="AS19:CI24 C2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08"/>
    <col collapsed="false" customWidth="true" hidden="false" outlineLevel="0" max="2" min="2" style="1" width="15.94"/>
    <col collapsed="false" customWidth="true" hidden="false" outlineLevel="0" max="7" min="7" style="1" width="15.94"/>
  </cols>
  <sheetData>
    <row r="1" customFormat="false" ht="12.8" hidden="false" customHeight="false" outlineLevel="0" collapsed="false">
      <c r="A1" s="129"/>
      <c r="B1" s="129"/>
      <c r="C1" s="129"/>
      <c r="D1" s="129"/>
      <c r="E1" s="129"/>
    </row>
    <row r="2" customFormat="false" ht="24" hidden="false" customHeight="false" outlineLevel="0" collapsed="false">
      <c r="A2" s="129" t="s">
        <v>924</v>
      </c>
      <c r="B2" s="129" t="s">
        <v>925</v>
      </c>
      <c r="C2" s="120" t="s">
        <v>926</v>
      </c>
      <c r="D2" s="120" t="s">
        <v>927</v>
      </c>
      <c r="E2" s="120" t="s">
        <v>928</v>
      </c>
      <c r="F2" s="120"/>
      <c r="G2" s="129"/>
      <c r="H2" s="120" t="s">
        <v>926</v>
      </c>
      <c r="I2" s="120" t="s">
        <v>927</v>
      </c>
      <c r="J2" s="120" t="s">
        <v>928</v>
      </c>
      <c r="K2" s="120"/>
    </row>
    <row r="3" customFormat="false" ht="13" hidden="false" customHeight="false" outlineLevel="0" collapsed="false">
      <c r="A3" s="129" t="s">
        <v>929</v>
      </c>
      <c r="B3" s="129" t="s">
        <v>930</v>
      </c>
      <c r="C3" s="154" t="n">
        <v>0.085</v>
      </c>
      <c r="D3" s="154" t="n">
        <v>0.115</v>
      </c>
      <c r="E3" s="154" t="n">
        <v>0.081</v>
      </c>
      <c r="F3" s="129"/>
      <c r="G3" s="129" t="str">
        <f aca="false">B3</f>
        <v>qwerty</v>
      </c>
      <c r="H3" s="129"/>
      <c r="I3" s="129"/>
      <c r="J3" s="129"/>
      <c r="K3" s="129"/>
      <c r="M3" s="129"/>
      <c r="N3" s="129"/>
      <c r="O3" s="129"/>
      <c r="P3" s="129"/>
    </row>
    <row r="4" customFormat="false" ht="13" hidden="false" customHeight="false" outlineLevel="0" collapsed="false">
      <c r="A4" s="129" t="s">
        <v>931</v>
      </c>
      <c r="B4" s="129" t="s">
        <v>932</v>
      </c>
      <c r="C4" s="155" t="n">
        <v>0.359</v>
      </c>
      <c r="D4" s="154" t="n">
        <v>0.359</v>
      </c>
      <c r="E4" s="155" t="n">
        <v>0.384</v>
      </c>
      <c r="F4" s="129"/>
      <c r="G4" s="129" t="str">
        <f aca="false">B4</f>
        <v>Colemak</v>
      </c>
      <c r="H4" s="129"/>
      <c r="I4" s="129"/>
      <c r="J4" s="129"/>
      <c r="K4" s="129"/>
      <c r="M4" s="129"/>
      <c r="N4" s="129"/>
      <c r="O4" s="129"/>
      <c r="P4" s="129"/>
    </row>
    <row r="5" customFormat="false" ht="13" hidden="false" customHeight="false" outlineLevel="0" collapsed="false">
      <c r="A5" s="129" t="s">
        <v>933</v>
      </c>
      <c r="B5" s="129" t="s">
        <v>934</v>
      </c>
      <c r="C5" s="154" t="n">
        <v>0.346</v>
      </c>
      <c r="D5" s="154" t="n">
        <v>0.322</v>
      </c>
      <c r="E5" s="155" t="n">
        <v>0.383</v>
      </c>
      <c r="F5" s="156"/>
      <c r="G5" s="129" t="str">
        <f aca="false">B5</f>
        <v>FMIX14</v>
      </c>
      <c r="H5" s="129"/>
      <c r="I5" s="129"/>
      <c r="J5" s="129"/>
      <c r="K5" s="129"/>
      <c r="M5" s="129"/>
      <c r="N5" s="129"/>
      <c r="O5" s="129"/>
      <c r="P5" s="129"/>
    </row>
    <row r="6" customFormat="false" ht="13" hidden="false" customHeight="false" outlineLevel="0" collapsed="false">
      <c r="A6" s="129" t="s">
        <v>935</v>
      </c>
      <c r="B6" s="129" t="s">
        <v>936</v>
      </c>
      <c r="C6" s="154" t="n">
        <v>0.293</v>
      </c>
      <c r="D6" s="155" t="n">
        <v>0.404</v>
      </c>
      <c r="E6" s="154" t="n">
        <v>0.37</v>
      </c>
      <c r="F6" s="129"/>
      <c r="G6" s="129" t="str">
        <f aca="false">B6</f>
        <v>FMIX14R</v>
      </c>
      <c r="H6" s="129"/>
      <c r="I6" s="129"/>
      <c r="J6" s="129"/>
      <c r="K6" s="129"/>
      <c r="M6" s="129"/>
      <c r="N6" s="129"/>
      <c r="O6" s="129"/>
      <c r="P6" s="129"/>
    </row>
    <row r="7" customFormat="false" ht="13" hidden="false" customHeight="false" outlineLevel="0" collapsed="false">
      <c r="A7" s="1" t="s">
        <v>937</v>
      </c>
      <c r="B7" s="1" t="s">
        <v>938</v>
      </c>
      <c r="C7" s="154" t="n">
        <v>0.32</v>
      </c>
      <c r="D7" s="154" t="n">
        <v>0.295</v>
      </c>
      <c r="E7" s="154" t="n">
        <v>0.32</v>
      </c>
      <c r="G7" s="129" t="str">
        <f aca="false">B7</f>
        <v>MTGAP</v>
      </c>
      <c r="H7" s="129"/>
      <c r="I7" s="129"/>
      <c r="J7" s="157"/>
      <c r="K7" s="129"/>
      <c r="M7" s="129"/>
      <c r="N7" s="129"/>
      <c r="O7" s="129"/>
      <c r="P7" s="129"/>
    </row>
    <row r="8" customFormat="false" ht="13" hidden="false" customHeight="false" outlineLevel="0" collapsed="false">
      <c r="A8" s="129" t="s">
        <v>939</v>
      </c>
      <c r="B8" s="129" t="s">
        <v>940</v>
      </c>
      <c r="C8" s="154" t="n">
        <v>0.328</v>
      </c>
      <c r="D8" s="154" t="n">
        <v>0.372</v>
      </c>
      <c r="E8" s="154" t="n">
        <v>0.311</v>
      </c>
      <c r="F8" s="129"/>
      <c r="G8" s="129" t="str">
        <f aca="false">B8</f>
        <v>ワカサギ</v>
      </c>
      <c r="H8" s="129"/>
      <c r="I8" s="129"/>
      <c r="J8" s="129"/>
      <c r="K8" s="129"/>
      <c r="M8" s="129"/>
      <c r="N8" s="129"/>
      <c r="O8" s="129"/>
      <c r="P8" s="129"/>
    </row>
    <row r="9" customFormat="false" ht="13" hidden="false" customHeight="false" outlineLevel="0" collapsed="false">
      <c r="A9" s="129"/>
      <c r="B9" s="129" t="s">
        <v>941</v>
      </c>
      <c r="C9" s="154" t="n">
        <v>0.314</v>
      </c>
      <c r="D9" s="154" t="n">
        <v>0.382</v>
      </c>
      <c r="E9" s="154" t="n">
        <v>0.37</v>
      </c>
      <c r="F9" s="158"/>
      <c r="G9" s="129" t="str">
        <f aca="false">B9</f>
        <v>大西</v>
      </c>
      <c r="H9" s="129"/>
      <c r="I9" s="129"/>
      <c r="J9" s="157"/>
      <c r="K9" s="129"/>
      <c r="M9" s="129"/>
      <c r="N9" s="129"/>
      <c r="O9" s="129"/>
      <c r="P9" s="129"/>
    </row>
    <row r="10" customFormat="false" ht="13" hidden="false" customHeight="false" outlineLevel="0" collapsed="false">
      <c r="A10" s="129" t="s">
        <v>942</v>
      </c>
      <c r="B10" s="129" t="s">
        <v>943</v>
      </c>
      <c r="C10" s="154" t="n">
        <v>0.349</v>
      </c>
      <c r="D10" s="154" t="n">
        <v>0.321</v>
      </c>
      <c r="E10" s="154" t="n">
        <v>0.382</v>
      </c>
      <c r="G10" s="129" t="str">
        <f aca="false">B10</f>
        <v>vbp</v>
      </c>
      <c r="H10" s="129"/>
      <c r="I10" s="129"/>
      <c r="J10" s="129"/>
      <c r="K10" s="129"/>
      <c r="M10" s="129"/>
      <c r="N10" s="129"/>
      <c r="O10" s="129"/>
      <c r="P10" s="129"/>
    </row>
    <row r="11" customFormat="false" ht="13" hidden="false" customHeight="false" outlineLevel="0" collapsed="false">
      <c r="A11" s="129"/>
      <c r="B11" s="1" t="s">
        <v>944</v>
      </c>
      <c r="C11" s="154" t="n">
        <v>0.342</v>
      </c>
      <c r="D11" s="154" t="n">
        <v>0.312</v>
      </c>
      <c r="E11" s="154" t="n">
        <v>0.374</v>
      </c>
      <c r="G11" s="129" t="str">
        <f aca="false">B11</f>
        <v>FMIX12</v>
      </c>
      <c r="H11" s="129"/>
      <c r="I11" s="129"/>
      <c r="J11" s="129"/>
      <c r="K11" s="129"/>
      <c r="M11" s="129"/>
      <c r="N11" s="129"/>
      <c r="O11" s="129"/>
      <c r="P11" s="129"/>
    </row>
    <row r="12" customFormat="false" ht="13" hidden="false" customHeight="false" outlineLevel="0" collapsed="false">
      <c r="A12" s="129"/>
      <c r="B12" s="1" t="s">
        <v>945</v>
      </c>
      <c r="C12" s="154"/>
      <c r="D12" s="154"/>
      <c r="E12" s="154"/>
      <c r="G12" s="129" t="str">
        <f aca="false">B12</f>
        <v>FMIX13</v>
      </c>
      <c r="H12" s="129"/>
      <c r="I12" s="129"/>
      <c r="J12" s="129"/>
      <c r="K12" s="129"/>
      <c r="M12" s="129"/>
      <c r="N12" s="129"/>
      <c r="O12" s="129"/>
      <c r="P12" s="129"/>
    </row>
    <row r="13" customFormat="false" ht="13" hidden="false" customHeight="false" outlineLevel="0" collapsed="false">
      <c r="A13" s="129"/>
      <c r="B13" s="1" t="s">
        <v>946</v>
      </c>
      <c r="C13" s="154"/>
      <c r="D13" s="154"/>
      <c r="E13" s="154"/>
      <c r="G13" s="129" t="str">
        <f aca="false">B13</f>
        <v>FMIX13R2</v>
      </c>
      <c r="H13" s="129"/>
      <c r="I13" s="129"/>
      <c r="J13" s="129"/>
      <c r="K13" s="129"/>
      <c r="M13" s="129"/>
      <c r="N13" s="129"/>
      <c r="O13" s="129"/>
      <c r="P13" s="129"/>
    </row>
    <row r="14" customFormat="false" ht="13" hidden="false" customHeight="false" outlineLevel="0" collapsed="false">
      <c r="A14" s="129" t="s">
        <v>947</v>
      </c>
      <c r="B14" s="1" t="s">
        <v>948</v>
      </c>
      <c r="C14" s="154" t="n">
        <v>0.292</v>
      </c>
      <c r="D14" s="159" t="n">
        <v>0.401</v>
      </c>
      <c r="E14" s="154" t="n">
        <v>0.366</v>
      </c>
      <c r="G14" s="129" t="str">
        <f aca="false">B14</f>
        <v>FMIX13R</v>
      </c>
      <c r="H14" s="129"/>
      <c r="I14" s="129"/>
      <c r="J14" s="129"/>
      <c r="K14" s="129"/>
      <c r="M14" s="129"/>
      <c r="N14" s="129"/>
      <c r="O14" s="129"/>
      <c r="P14" s="129"/>
    </row>
    <row r="15" customFormat="false" ht="13" hidden="false" customHeight="false" outlineLevel="0" collapsed="false">
      <c r="A15" s="129" t="s">
        <v>949</v>
      </c>
      <c r="B15" s="1" t="s">
        <v>950</v>
      </c>
      <c r="C15" s="154" t="n">
        <v>0.346</v>
      </c>
      <c r="D15" s="154" t="n">
        <v>0.326</v>
      </c>
      <c r="E15" s="154" t="n">
        <v>0.387</v>
      </c>
      <c r="G15" s="129" t="str">
        <f aca="false">B15</f>
        <v>FMIX14s</v>
      </c>
      <c r="H15" s="129"/>
      <c r="I15" s="129"/>
      <c r="J15" s="129"/>
      <c r="K15" s="129"/>
      <c r="M15" s="129"/>
      <c r="N15" s="129"/>
      <c r="O15" s="129"/>
      <c r="P15" s="129"/>
    </row>
    <row r="16" customFormat="false" ht="13" hidden="false" customHeight="false" outlineLevel="0" collapsed="false">
      <c r="A16" s="129"/>
      <c r="C16" s="154"/>
      <c r="D16" s="154"/>
      <c r="E16" s="154"/>
      <c r="G16" s="129" t="n">
        <f aca="false">B16</f>
        <v>0</v>
      </c>
      <c r="H16" s="129"/>
      <c r="I16" s="129"/>
      <c r="J16" s="129"/>
      <c r="K16" s="129"/>
      <c r="M16" s="129"/>
      <c r="N16" s="129"/>
      <c r="O16" s="129"/>
      <c r="P16" s="129"/>
    </row>
    <row r="17" customFormat="false" ht="13" hidden="false" customHeight="false" outlineLevel="0" collapsed="false">
      <c r="A17" s="1" t="s">
        <v>951</v>
      </c>
      <c r="B17" s="129" t="s">
        <v>952</v>
      </c>
      <c r="C17" s="154" t="n">
        <v>0.296</v>
      </c>
      <c r="D17" s="154" t="n">
        <v>0.403</v>
      </c>
      <c r="E17" s="154" t="n">
        <v>0.369</v>
      </c>
      <c r="G17" s="129" t="str">
        <f aca="false">B17</f>
        <v>vbp r</v>
      </c>
      <c r="H17" s="129"/>
      <c r="I17" s="129"/>
      <c r="J17" s="129"/>
      <c r="K17" s="129"/>
      <c r="M17" s="129"/>
      <c r="N17" s="129"/>
      <c r="O17" s="129"/>
      <c r="P17" s="129"/>
    </row>
    <row r="18" customFormat="false" ht="13" hidden="false" customHeight="false" outlineLevel="0" collapsed="false">
      <c r="A18" s="129" t="s">
        <v>953</v>
      </c>
      <c r="B18" s="129" t="s">
        <v>954</v>
      </c>
      <c r="C18" s="154" t="n">
        <v>0.349</v>
      </c>
      <c r="D18" s="154" t="n">
        <v>0.321</v>
      </c>
      <c r="E18" s="154" t="n">
        <v>0.382</v>
      </c>
      <c r="G18" s="129" t="str">
        <f aca="false">B18</f>
        <v>vbd</v>
      </c>
      <c r="H18" s="129"/>
      <c r="I18" s="129"/>
      <c r="J18" s="129"/>
      <c r="K18" s="129"/>
      <c r="M18" s="129"/>
      <c r="N18" s="129"/>
      <c r="O18" s="129"/>
      <c r="P18" s="129"/>
    </row>
    <row r="19" customFormat="false" ht="12.8" hidden="false" customHeight="true" outlineLevel="0" collapsed="false">
      <c r="H19" s="129"/>
      <c r="I19" s="129"/>
      <c r="J19" s="129"/>
      <c r="K19" s="129"/>
    </row>
    <row r="20" customFormat="false" ht="12.8" hidden="false" customHeight="false" outlineLevel="0" collapsed="false">
      <c r="E20" s="129"/>
      <c r="F20" s="129"/>
      <c r="G20" s="129"/>
      <c r="H20" s="129"/>
    </row>
    <row r="21" customFormat="false" ht="24" hidden="false" customHeight="false" outlineLevel="0" collapsed="false">
      <c r="B21" s="1" t="str">
        <f aca="false">B2</f>
        <v>レイアウト</v>
      </c>
      <c r="C21" s="1" t="str">
        <f aca="false">C2</f>
        <v>英文</v>
      </c>
      <c r="D21" s="1" t="str">
        <f aca="false">D2</f>
        <v>ローマ字</v>
      </c>
      <c r="E21" s="160" t="str">
        <f aca="false">E2</f>
        <v>ローマ字
(k→c)</v>
      </c>
      <c r="F21" s="129"/>
      <c r="G21" s="129"/>
      <c r="H21" s="1" t="str">
        <f aca="false">H2</f>
        <v>英文</v>
      </c>
      <c r="I21" s="1" t="str">
        <f aca="false">I2</f>
        <v>ローマ字</v>
      </c>
      <c r="J21" s="160" t="str">
        <f aca="false">J2</f>
        <v>ローマ字
(k→c)</v>
      </c>
    </row>
    <row r="22" customFormat="false" ht="13" hidden="false" customHeight="false" outlineLevel="0" collapsed="false">
      <c r="B22" s="1" t="str">
        <f aca="false">B3</f>
        <v>qwerty</v>
      </c>
      <c r="C22" s="161" t="n">
        <v>36.12</v>
      </c>
      <c r="D22" s="161" t="n">
        <v>32.39</v>
      </c>
      <c r="E22" s="162" t="n">
        <v>34.38</v>
      </c>
      <c r="F22" s="129"/>
      <c r="G22" s="1" t="str">
        <f aca="false">G3</f>
        <v>qwerty</v>
      </c>
      <c r="H22" s="163" t="n">
        <f aca="false">C22/$C$23*70</f>
        <v>39.7234878240377</v>
      </c>
      <c r="I22" s="163" t="n">
        <f aca="false">D22/$C$23*70</f>
        <v>35.6213668499607</v>
      </c>
      <c r="J22" s="163" t="n">
        <f aca="false">E22/$C$23*70</f>
        <v>37.8098978790259</v>
      </c>
    </row>
    <row r="23" customFormat="false" ht="13" hidden="false" customHeight="false" outlineLevel="0" collapsed="false">
      <c r="B23" s="1" t="str">
        <f aca="false">B4</f>
        <v>Colemak</v>
      </c>
      <c r="C23" s="164" t="n">
        <v>63.65</v>
      </c>
      <c r="D23" s="164" t="n">
        <v>67.46</v>
      </c>
      <c r="E23" s="164" t="n">
        <v>70.34</v>
      </c>
      <c r="F23" s="129"/>
      <c r="G23" s="1" t="str">
        <f aca="false">G4</f>
        <v>Colemak</v>
      </c>
      <c r="H23" s="163" t="n">
        <f aca="false">C23/$C$23*70</f>
        <v>70</v>
      </c>
      <c r="I23" s="163" t="n">
        <f aca="false">D23/$C$23*70</f>
        <v>74.1901021209741</v>
      </c>
      <c r="J23" s="165" t="n">
        <f aca="false">E23/$C$23*70</f>
        <v>77.3574234092695</v>
      </c>
    </row>
    <row r="24" customFormat="false" ht="13" hidden="false" customHeight="false" outlineLevel="0" collapsed="false">
      <c r="B24" s="1" t="str">
        <f aca="false">B5</f>
        <v>FMIX14</v>
      </c>
      <c r="C24" s="166" t="n">
        <v>63.68</v>
      </c>
      <c r="D24" s="164" t="n">
        <v>70.13</v>
      </c>
      <c r="E24" s="164" t="n">
        <v>70.57</v>
      </c>
      <c r="F24" s="129"/>
      <c r="G24" s="1" t="str">
        <f aca="false">G5</f>
        <v>FMIX14</v>
      </c>
      <c r="H24" s="163" t="n">
        <f aca="false">C24/$C$23*70</f>
        <v>70.0329929300864</v>
      </c>
      <c r="I24" s="163" t="n">
        <f aca="false">D24/$C$23*70</f>
        <v>77.1264728986646</v>
      </c>
      <c r="J24" s="165" t="n">
        <f aca="false">E24/$C$23*70</f>
        <v>77.6103692065986</v>
      </c>
    </row>
    <row r="25" customFormat="false" ht="13" hidden="false" customHeight="false" outlineLevel="0" collapsed="false">
      <c r="B25" s="1" t="str">
        <f aca="false">B6</f>
        <v>FMIX14R</v>
      </c>
      <c r="C25" s="167" t="n">
        <v>58.04</v>
      </c>
      <c r="D25" s="164" t="n">
        <v>72.12</v>
      </c>
      <c r="E25" s="167" t="n">
        <v>69.07</v>
      </c>
      <c r="F25" s="129"/>
      <c r="G25" s="1" t="str">
        <f aca="false">G6</f>
        <v>FMIX14R</v>
      </c>
      <c r="H25" s="163" t="n">
        <f aca="false">C25/$C$23*70</f>
        <v>63.8303220738413</v>
      </c>
      <c r="I25" s="165" t="n">
        <f aca="false">D25/$C$23*70</f>
        <v>79.3150039277298</v>
      </c>
      <c r="J25" s="163" t="n">
        <f aca="false">E25/$C$23*70</f>
        <v>75.9607227022781</v>
      </c>
    </row>
    <row r="26" customFormat="false" ht="13" hidden="false" customHeight="false" outlineLevel="0" collapsed="false">
      <c r="B26" s="1" t="str">
        <f aca="false">B7</f>
        <v>MTGAP</v>
      </c>
      <c r="C26" s="164" t="n">
        <v>63.15</v>
      </c>
      <c r="D26" s="167" t="n">
        <v>61.4</v>
      </c>
      <c r="E26" s="164" t="n">
        <v>60.01</v>
      </c>
      <c r="F26" s="129"/>
      <c r="G26" s="1" t="str">
        <f aca="false">G7</f>
        <v>MTGAP</v>
      </c>
      <c r="H26" s="163" t="n">
        <f aca="false">C26/$C$23*70</f>
        <v>69.4501178318932</v>
      </c>
      <c r="I26" s="163" t="n">
        <f aca="false">D26/$C$23*70</f>
        <v>67.5255302435192</v>
      </c>
      <c r="J26" s="163" t="n">
        <f aca="false">E26/$C$23*70</f>
        <v>65.9968578161822</v>
      </c>
    </row>
    <row r="27" customFormat="false" ht="12.8" hidden="false" customHeight="false" outlineLevel="0" collapsed="false">
      <c r="B27" s="1" t="str">
        <f aca="false">B8</f>
        <v>ワカサギ</v>
      </c>
      <c r="C27" s="161" t="n">
        <v>62.3</v>
      </c>
      <c r="D27" s="168" t="n">
        <v>74.92</v>
      </c>
      <c r="E27" s="161" t="n">
        <v>72.33</v>
      </c>
      <c r="F27" s="129"/>
      <c r="G27" s="1" t="str">
        <f aca="false">G8</f>
        <v>ワカサギ</v>
      </c>
      <c r="H27" s="163" t="n">
        <f aca="false">C27/$C$23*70</f>
        <v>68.5153181461115</v>
      </c>
      <c r="I27" s="163" t="n">
        <f aca="false">D27/$C$23*70</f>
        <v>82.3943440691281</v>
      </c>
      <c r="J27" s="163" t="n">
        <f aca="false">E27/$C$23*70</f>
        <v>79.5459544383347</v>
      </c>
    </row>
    <row r="28" customFormat="false" ht="13" hidden="false" customHeight="false" outlineLevel="0" collapsed="false">
      <c r="B28" s="1" t="str">
        <f aca="false">B9</f>
        <v>大西</v>
      </c>
      <c r="C28" s="164" t="n">
        <v>55.55</v>
      </c>
      <c r="D28" s="167" t="n">
        <v>74.62</v>
      </c>
      <c r="E28" s="161" t="n">
        <v>55.52</v>
      </c>
      <c r="F28" s="129"/>
      <c r="G28" s="1" t="str">
        <f aca="false">G9</f>
        <v>大西</v>
      </c>
      <c r="H28" s="163" t="n">
        <f aca="false">C28/$C$23*70</f>
        <v>61.0919088766693</v>
      </c>
      <c r="I28" s="163" t="n">
        <f aca="false">D28/$C$23*70</f>
        <v>82.064414768264</v>
      </c>
      <c r="J28" s="163" t="n">
        <f aca="false">E28/$C$23*70</f>
        <v>61.0589159465829</v>
      </c>
    </row>
    <row r="29" customFormat="false" ht="12.8" hidden="false" customHeight="false" outlineLevel="0" collapsed="false">
      <c r="B29" s="1" t="str">
        <f aca="false">B10</f>
        <v>vbp</v>
      </c>
      <c r="C29" s="169" t="n">
        <v>58.72</v>
      </c>
      <c r="D29" s="161" t="n">
        <v>69.93</v>
      </c>
      <c r="E29" s="169" t="n">
        <v>66.87</v>
      </c>
      <c r="F29" s="129"/>
      <c r="G29" s="1" t="str">
        <f aca="false">G10</f>
        <v>vbp</v>
      </c>
      <c r="H29" s="163" t="n">
        <f aca="false">C29/$C$23*70</f>
        <v>64.5781618224666</v>
      </c>
      <c r="I29" s="163" t="n">
        <f aca="false">D29/$C$23*70</f>
        <v>76.9065200314219</v>
      </c>
      <c r="J29" s="163" t="n">
        <f aca="false">E29/$C$23*70</f>
        <v>73.541241162608</v>
      </c>
    </row>
    <row r="30" customFormat="false" ht="13" hidden="false" customHeight="false" outlineLevel="0" collapsed="false">
      <c r="B30" s="1" t="str">
        <f aca="false">B11</f>
        <v>FMIX12</v>
      </c>
      <c r="C30" s="161" t="n">
        <v>62.04</v>
      </c>
      <c r="D30" s="161" t="n">
        <v>68.8</v>
      </c>
      <c r="E30" s="164" t="n">
        <v>69.98</v>
      </c>
      <c r="F30" s="129"/>
      <c r="G30" s="1" t="str">
        <f aca="false">G11</f>
        <v>FMIX12</v>
      </c>
      <c r="H30" s="163" t="n">
        <f aca="false">C30/$C$23*70</f>
        <v>68.229379418696</v>
      </c>
      <c r="I30" s="163" t="n">
        <f aca="false">D30/$C$23*70</f>
        <v>75.6637863315004</v>
      </c>
      <c r="J30" s="163" t="n">
        <f aca="false">E30/$C$23*70</f>
        <v>76.9615082482325</v>
      </c>
    </row>
    <row r="31" customFormat="false" ht="13" hidden="false" customHeight="false" outlineLevel="0" collapsed="false">
      <c r="B31" s="1" t="str">
        <f aca="false">B12</f>
        <v>FMIX13</v>
      </c>
      <c r="C31" s="161" t="n">
        <v>63.04</v>
      </c>
      <c r="D31" s="161" t="n">
        <v>70.8</v>
      </c>
      <c r="E31" s="164" t="n">
        <v>70.56</v>
      </c>
      <c r="F31" s="129"/>
      <c r="G31" s="1" t="str">
        <f aca="false">G12</f>
        <v>FMIX13</v>
      </c>
      <c r="H31" s="163" t="n">
        <f aca="false">C31/$C$23*70</f>
        <v>69.3291437549097</v>
      </c>
      <c r="I31" s="163" t="n">
        <f aca="false">D31/$C$23*70</f>
        <v>77.8633150039277</v>
      </c>
      <c r="J31" s="163" t="n">
        <f aca="false">E31/$C$23*70</f>
        <v>77.5993715632365</v>
      </c>
    </row>
    <row r="32" customFormat="false" ht="13" hidden="false" customHeight="false" outlineLevel="0" collapsed="false">
      <c r="B32" s="1" t="str">
        <f aca="false">B13</f>
        <v>FMIX13R2</v>
      </c>
      <c r="C32" s="161" t="n">
        <v>57.92</v>
      </c>
      <c r="D32" s="161" t="n">
        <v>71.85</v>
      </c>
      <c r="E32" s="164" t="n">
        <v>68.79</v>
      </c>
      <c r="F32" s="129"/>
      <c r="G32" s="1" t="str">
        <f aca="false">G13</f>
        <v>FMIX13R2</v>
      </c>
      <c r="H32" s="163" t="n">
        <f aca="false">C32/$C$23*70</f>
        <v>63.6983503534957</v>
      </c>
      <c r="I32" s="163" t="n">
        <f aca="false">D32/$C$23*70</f>
        <v>79.0180675569521</v>
      </c>
      <c r="J32" s="163" t="n">
        <f aca="false">E32/$C$23*70</f>
        <v>75.6527886881383</v>
      </c>
    </row>
    <row r="33" customFormat="false" ht="13" hidden="false" customHeight="false" outlineLevel="0" collapsed="false">
      <c r="B33" s="1" t="str">
        <f aca="false">B14</f>
        <v>FMIX13R</v>
      </c>
      <c r="D33" s="170" t="n">
        <v>72.24</v>
      </c>
      <c r="E33" s="164" t="n">
        <v>69.18</v>
      </c>
      <c r="F33" s="129"/>
      <c r="G33" s="1" t="str">
        <f aca="false">G14</f>
        <v>FMIX13R</v>
      </c>
      <c r="H33" s="163" t="n">
        <f aca="false">Sheet10_2!C35/$C$23*70</f>
        <v>64.1162608012569</v>
      </c>
      <c r="I33" s="163" t="n">
        <f aca="false">D33/$C$23*70</f>
        <v>79.4469756480754</v>
      </c>
      <c r="J33" s="163" t="n">
        <f aca="false">E33/$C$23*70</f>
        <v>76.0816967792616</v>
      </c>
    </row>
    <row r="34" customFormat="false" ht="13" hidden="false" customHeight="false" outlineLevel="0" collapsed="false">
      <c r="B34" s="1" t="str">
        <f aca="false">B15</f>
        <v>FMIX14s</v>
      </c>
      <c r="D34" s="161" t="n">
        <v>70.71</v>
      </c>
      <c r="E34" s="164" t="n">
        <v>71.27</v>
      </c>
      <c r="F34" s="129"/>
      <c r="G34" s="1" t="str">
        <f aca="false">G15</f>
        <v>FMIX14s</v>
      </c>
      <c r="H34" s="163" t="n">
        <f aca="false">Sheet10_2!C36/$C$23*70</f>
        <v>69.6260801256874</v>
      </c>
      <c r="I34" s="163" t="n">
        <f aca="false">D34/$C$23*70</f>
        <v>77.7643362136685</v>
      </c>
      <c r="J34" s="163" t="n">
        <f aca="false">E34/$C$23*70</f>
        <v>78.3802042419482</v>
      </c>
    </row>
    <row r="35" customFormat="false" ht="12.8" hidden="false" customHeight="false" outlineLevel="0" collapsed="false">
      <c r="C35" s="161"/>
      <c r="D35" s="161"/>
      <c r="E35" s="164"/>
      <c r="F35" s="129"/>
      <c r="G35" s="129"/>
      <c r="H35" s="129"/>
    </row>
    <row r="36" customFormat="false" ht="13" hidden="false" customHeight="false" outlineLevel="0" collapsed="false">
      <c r="E36" s="129"/>
      <c r="F36" s="129" t="s">
        <v>5</v>
      </c>
      <c r="G36" s="129"/>
      <c r="H36" s="129"/>
    </row>
    <row r="37" customFormat="false" ht="24" hidden="false" customHeight="false" outlineLevel="0" collapsed="false">
      <c r="B37" s="1" t="str">
        <f aca="false">B2</f>
        <v>レイアウト</v>
      </c>
      <c r="C37" s="1" t="str">
        <f aca="false">C2</f>
        <v>英文</v>
      </c>
      <c r="D37" s="1" t="str">
        <f aca="false">D2</f>
        <v>ローマ字</v>
      </c>
      <c r="E37" s="160" t="str">
        <f aca="false">E2</f>
        <v>ローマ字
(k→c)</v>
      </c>
      <c r="F37" s="129"/>
      <c r="G37" s="129" t="s">
        <v>925</v>
      </c>
      <c r="H37" s="1" t="str">
        <f aca="false">H2</f>
        <v>英文</v>
      </c>
      <c r="I37" s="1" t="str">
        <f aca="false">I2</f>
        <v>ローマ字</v>
      </c>
      <c r="J37" s="160" t="str">
        <f aca="false">J2</f>
        <v>ローマ字
(k→c)</v>
      </c>
    </row>
    <row r="38" customFormat="false" ht="13" hidden="false" customHeight="false" outlineLevel="0" collapsed="false">
      <c r="B38" s="1" t="str">
        <f aca="false">B3</f>
        <v>qwerty</v>
      </c>
      <c r="C38" s="129"/>
      <c r="D38" s="129"/>
      <c r="E38" s="129"/>
      <c r="G38" s="129" t="str">
        <f aca="false">B38</f>
        <v>qwerty</v>
      </c>
      <c r="H38" s="163" t="e">
        <f aca="false">C38/$C$39*70</f>
        <v>#DIV/0!</v>
      </c>
      <c r="I38" s="163" t="e">
        <f aca="false">D38/$C$39*70</f>
        <v>#DIV/0!</v>
      </c>
      <c r="J38" s="163" t="e">
        <f aca="false">E38/$C$39*70</f>
        <v>#DIV/0!</v>
      </c>
    </row>
    <row r="39" customFormat="false" ht="13" hidden="false" customHeight="false" outlineLevel="0" collapsed="false">
      <c r="B39" s="1" t="str">
        <f aca="false">B4</f>
        <v>Colemak</v>
      </c>
      <c r="C39" s="171"/>
      <c r="D39" s="129"/>
      <c r="E39" s="129"/>
      <c r="G39" s="129" t="str">
        <f aca="false">B39</f>
        <v>Colemak</v>
      </c>
      <c r="H39" s="163" t="e">
        <f aca="false">C39/$C$39*70</f>
        <v>#DIV/0!</v>
      </c>
      <c r="I39" s="163" t="e">
        <f aca="false">D39/$C$39*70</f>
        <v>#DIV/0!</v>
      </c>
      <c r="J39" s="172" t="e">
        <f aca="false">E39/$C$39*70</f>
        <v>#DIV/0!</v>
      </c>
    </row>
    <row r="40" customFormat="false" ht="13" hidden="false" customHeight="false" outlineLevel="0" collapsed="false">
      <c r="B40" s="1" t="str">
        <f aca="false">B5</f>
        <v>FMIX14</v>
      </c>
      <c r="C40" s="156"/>
      <c r="D40" s="129"/>
      <c r="E40" s="156"/>
      <c r="G40" s="129" t="str">
        <f aca="false">B40</f>
        <v>FMIX14</v>
      </c>
      <c r="H40" s="172" t="e">
        <f aca="false">C40/$C$39*70</f>
        <v>#DIV/0!</v>
      </c>
      <c r="I40" s="163" t="e">
        <f aca="false">D40/$C$39*70</f>
        <v>#DIV/0!</v>
      </c>
      <c r="J40" s="163" t="e">
        <f aca="false">E40/$C$39*70</f>
        <v>#DIV/0!</v>
      </c>
    </row>
    <row r="41" customFormat="false" ht="13" hidden="false" customHeight="false" outlineLevel="0" collapsed="false">
      <c r="B41" s="1" t="str">
        <f aca="false">B6</f>
        <v>FMIX14R</v>
      </c>
      <c r="C41" s="129"/>
      <c r="D41" s="156"/>
      <c r="E41" s="129"/>
      <c r="G41" s="129" t="str">
        <f aca="false">B41</f>
        <v>FMIX14R</v>
      </c>
      <c r="H41" s="163" t="e">
        <f aca="false">C41/$C$39*70</f>
        <v>#DIV/0!</v>
      </c>
      <c r="I41" s="172" t="e">
        <f aca="false">D41/$C$39*70</f>
        <v>#DIV/0!</v>
      </c>
      <c r="J41" s="163" t="e">
        <f aca="false">E41/$C$39*70</f>
        <v>#DIV/0!</v>
      </c>
    </row>
    <row r="42" customFormat="false" ht="13" hidden="false" customHeight="false" outlineLevel="0" collapsed="false">
      <c r="B42" s="1" t="str">
        <f aca="false">B7</f>
        <v>MTGAP</v>
      </c>
      <c r="C42" s="1"/>
      <c r="D42" s="1"/>
      <c r="E42" s="1"/>
      <c r="G42" s="129" t="str">
        <f aca="false">B42</f>
        <v>MTGAP</v>
      </c>
      <c r="H42" s="163" t="e">
        <f aca="false">C42/$C$39*70</f>
        <v>#DIV/0!</v>
      </c>
      <c r="I42" s="163" t="e">
        <f aca="false">D42/$C$39*70</f>
        <v>#DIV/0!</v>
      </c>
      <c r="J42" s="163" t="e">
        <f aca="false">E42/$C$39*70</f>
        <v>#DIV/0!</v>
      </c>
    </row>
    <row r="43" customFormat="false" ht="13" hidden="false" customHeight="false" outlineLevel="0" collapsed="false">
      <c r="B43" s="1" t="str">
        <f aca="false">B8</f>
        <v>ワカサギ</v>
      </c>
      <c r="C43" s="129"/>
      <c r="D43" s="156"/>
      <c r="E43" s="1"/>
      <c r="G43" s="129" t="str">
        <f aca="false">B43</f>
        <v>ワカサギ</v>
      </c>
      <c r="H43" s="163" t="e">
        <f aca="false">C43/$C$39*70</f>
        <v>#DIV/0!</v>
      </c>
      <c r="I43" s="172" t="e">
        <f aca="false">D43/$C$39*70</f>
        <v>#DIV/0!</v>
      </c>
      <c r="J43" s="163" t="e">
        <f aca="false">E43/$C$39*70</f>
        <v>#DIV/0!</v>
      </c>
    </row>
    <row r="44" customFormat="false" ht="13" hidden="false" customHeight="false" outlineLevel="0" collapsed="false">
      <c r="B44" s="1" t="str">
        <f aca="false">B9</f>
        <v>大西</v>
      </c>
      <c r="C44" s="158"/>
      <c r="D44" s="1"/>
      <c r="E44" s="158"/>
      <c r="G44" s="129" t="str">
        <f aca="false">B44</f>
        <v>大西</v>
      </c>
      <c r="H44" s="163" t="e">
        <f aca="false">C44/$C$39*70</f>
        <v>#DIV/0!</v>
      </c>
      <c r="I44" s="172" t="e">
        <f aca="false">D44/$C$39*70</f>
        <v>#DIV/0!</v>
      </c>
      <c r="J44" s="163" t="e">
        <f aca="false">E44/$C$39*70</f>
        <v>#DIV/0!</v>
      </c>
    </row>
    <row r="45" customFormat="false" ht="13" hidden="false" customHeight="false" outlineLevel="0" collapsed="false">
      <c r="B45" s="1" t="str">
        <f aca="false">B10</f>
        <v>vbp</v>
      </c>
      <c r="C45" s="158"/>
      <c r="D45" s="1"/>
      <c r="E45" s="158"/>
      <c r="G45" s="129" t="str">
        <f aca="false">B45</f>
        <v>vbp</v>
      </c>
      <c r="H45" s="163" t="e">
        <f aca="false">C45/$C$39*70</f>
        <v>#DIV/0!</v>
      </c>
      <c r="I45" s="163" t="e">
        <f aca="false">D45/$C$39*70</f>
        <v>#DIV/0!</v>
      </c>
      <c r="J45" s="163" t="e">
        <f aca="false">E45/$C$39*70</f>
        <v>#DIV/0!</v>
      </c>
    </row>
    <row r="46" customFormat="false" ht="13" hidden="false" customHeight="false" outlineLevel="0" collapsed="false">
      <c r="B46" s="1" t="str">
        <f aca="false">B11</f>
        <v>FMIX12</v>
      </c>
      <c r="C46" s="1"/>
      <c r="D46" s="158"/>
      <c r="E46" s="1"/>
      <c r="G46" s="129" t="str">
        <f aca="false">B46</f>
        <v>FMIX12</v>
      </c>
      <c r="H46" s="163" t="e">
        <f aca="false">C46/$C$39*70</f>
        <v>#DIV/0!</v>
      </c>
      <c r="I46" s="163" t="e">
        <f aca="false">D46/$C$39*70</f>
        <v>#DIV/0!</v>
      </c>
      <c r="J46" s="163" t="e">
        <f aca="false">E46/$C$39*70</f>
        <v>#DIV/0!</v>
      </c>
    </row>
    <row r="47" customFormat="false" ht="13" hidden="false" customHeight="false" outlineLevel="0" collapsed="false">
      <c r="B47" s="1" t="str">
        <f aca="false">B12</f>
        <v>FMIX13</v>
      </c>
      <c r="C47" s="1"/>
      <c r="D47" s="1"/>
      <c r="G47" s="129" t="str">
        <f aca="false">B47</f>
        <v>FMIX13</v>
      </c>
      <c r="H47" s="163" t="e">
        <f aca="false">C47/$C$39*70</f>
        <v>#DIV/0!</v>
      </c>
      <c r="I47" s="163" t="e">
        <f aca="false">D47/$C$39*70</f>
        <v>#DIV/0!</v>
      </c>
      <c r="J47" s="163" t="e">
        <f aca="false">E47/$C$39*70</f>
        <v>#DIV/0!</v>
      </c>
    </row>
    <row r="48" customFormat="false" ht="12.8" hidden="false" customHeight="true" outlineLevel="0" collapsed="false">
      <c r="B48" s="1" t="str">
        <f aca="false">B17</f>
        <v>vbp r</v>
      </c>
      <c r="C48" s="1"/>
      <c r="D48" s="1"/>
      <c r="G48" s="129" t="str">
        <f aca="false">B48</f>
        <v>vbp r</v>
      </c>
      <c r="H48" s="163" t="e">
        <f aca="false">C48/$C$39*70</f>
        <v>#DIV/0!</v>
      </c>
      <c r="I48" s="163" t="e">
        <f aca="false">D48/$C$39*70</f>
        <v>#DIV/0!</v>
      </c>
      <c r="J48" s="163" t="e">
        <f aca="false">E48/$C$39*70</f>
        <v>#DIV/0!</v>
      </c>
    </row>
    <row r="52" customFormat="false" ht="12.8" hidden="false" customHeight="false" outlineLevel="0" collapsed="false">
      <c r="C52" s="1"/>
    </row>
    <row r="53" customFormat="false" ht="12.8" hidden="false" customHeight="false" outlineLevel="0" collapsed="false">
      <c r="C53" s="1" t="n">
        <v>1</v>
      </c>
      <c r="D53" s="1" t="n">
        <v>1</v>
      </c>
      <c r="E53" s="1" t="n">
        <v>1</v>
      </c>
    </row>
    <row r="54" customFormat="false" ht="24" hidden="false" customHeight="false" outlineLevel="0" collapsed="false">
      <c r="B54" s="1" t="str">
        <f aca="false">B37</f>
        <v>レイアウト</v>
      </c>
      <c r="C54" s="1" t="str">
        <f aca="false">C37</f>
        <v>英文</v>
      </c>
      <c r="D54" s="1" t="str">
        <f aca="false">D37</f>
        <v>ローマ字</v>
      </c>
      <c r="E54" s="160" t="str">
        <f aca="false">E37</f>
        <v>ローマ字
(k→c)</v>
      </c>
    </row>
    <row r="55" customFormat="false" ht="13" hidden="false" customHeight="false" outlineLevel="0" collapsed="false">
      <c r="B55" s="1" t="str">
        <f aca="false">B3</f>
        <v>qwerty</v>
      </c>
      <c r="C55" s="161" t="n">
        <f aca="false">($C$52+C3)*C22*C$53</f>
        <v>3.0702</v>
      </c>
      <c r="D55" s="161" t="n">
        <f aca="false">($C$52+D3)*D22*D$53</f>
        <v>3.72485</v>
      </c>
      <c r="E55" s="161" t="n">
        <f aca="false">($C$52+E3)*E22*E$53</f>
        <v>2.78478</v>
      </c>
      <c r="G55" s="129" t="str">
        <f aca="false">B55</f>
        <v>qwerty</v>
      </c>
      <c r="H55" s="163" t="n">
        <f aca="false">C55/$C$56*70</f>
        <v>9.40528263243233</v>
      </c>
      <c r="I55" s="163" t="n">
        <f aca="false">D55/$C$56*70</f>
        <v>11.4107442555585</v>
      </c>
      <c r="J55" s="163" t="n">
        <f aca="false">E55/$C$56*70</f>
        <v>8.53092403398635</v>
      </c>
    </row>
    <row r="56" customFormat="false" ht="13" hidden="false" customHeight="false" outlineLevel="0" collapsed="false">
      <c r="B56" s="1" t="str">
        <f aca="false">B4</f>
        <v>Colemak</v>
      </c>
      <c r="C56" s="173" t="n">
        <f aca="false">($C$52+C4)*C23*C$53</f>
        <v>22.85035</v>
      </c>
      <c r="D56" s="161" t="n">
        <f aca="false">($C$52+D4)*D23*D$53</f>
        <v>24.21814</v>
      </c>
      <c r="E56" s="173" t="n">
        <f aca="false">($C$52+E4)*E23*E$53</f>
        <v>27.01056</v>
      </c>
      <c r="G56" s="129" t="str">
        <f aca="false">B56</f>
        <v>Colemak</v>
      </c>
      <c r="H56" s="172" t="n">
        <f aca="false">C56/$C$56*70</f>
        <v>70</v>
      </c>
      <c r="I56" s="163" t="n">
        <f aca="false">D56/$C$56*70</f>
        <v>74.1901021209741</v>
      </c>
      <c r="J56" s="172" t="n">
        <f aca="false">E56/$C$56*70</f>
        <v>82.7444306104721</v>
      </c>
    </row>
    <row r="57" customFormat="false" ht="13" hidden="false" customHeight="false" outlineLevel="0" collapsed="false">
      <c r="B57" s="1" t="str">
        <f aca="false">B5</f>
        <v>FMIX14</v>
      </c>
      <c r="C57" s="161" t="n">
        <f aca="false">($C$52+C5)*C24*C$53</f>
        <v>22.03328</v>
      </c>
      <c r="D57" s="174" t="n">
        <f aca="false">($C$52+D5)*D24*D$53</f>
        <v>22.58186</v>
      </c>
      <c r="E57" s="161" t="n">
        <f aca="false">($C$52+E5)*E24*E$53</f>
        <v>27.02831</v>
      </c>
      <c r="G57" s="129" t="str">
        <f aca="false">B57</f>
        <v>FMIX14</v>
      </c>
      <c r="H57" s="172" t="n">
        <f aca="false">C57/$C$56*70</f>
        <v>67.4969792585234</v>
      </c>
      <c r="I57" s="163" t="n">
        <f aca="false">D57/$C$56*70</f>
        <v>69.1775049397493</v>
      </c>
      <c r="J57" s="172" t="n">
        <f aca="false">E57/$C$56*70</f>
        <v>82.7988061452013</v>
      </c>
    </row>
    <row r="58" customFormat="false" ht="13" hidden="false" customHeight="false" outlineLevel="0" collapsed="false">
      <c r="B58" s="1" t="str">
        <f aca="false">B6</f>
        <v>FMIX14R</v>
      </c>
      <c r="C58" s="161" t="n">
        <f aca="false">($C$52+C6)*C25*C$53</f>
        <v>17.00572</v>
      </c>
      <c r="D58" s="173" t="n">
        <f aca="false">($C$52+D6)*D25*D$53</f>
        <v>29.13648</v>
      </c>
      <c r="E58" s="161" t="n">
        <f aca="false">($C$52+E6)*E25*E$53</f>
        <v>25.5559</v>
      </c>
      <c r="G58" s="129" t="str">
        <f aca="false">B58</f>
        <v>FMIX14R</v>
      </c>
      <c r="H58" s="163" t="n">
        <f aca="false">C58/$C$56*70</f>
        <v>52.0954996312967</v>
      </c>
      <c r="I58" s="172" t="n">
        <f aca="false">D58/$C$56*70</f>
        <v>89.2569960635176</v>
      </c>
      <c r="J58" s="163" t="n">
        <f aca="false">E58/$C$56*70</f>
        <v>78.2882100274175</v>
      </c>
    </row>
    <row r="59" customFormat="false" ht="13" hidden="false" customHeight="false" outlineLevel="0" collapsed="false">
      <c r="B59" s="1" t="str">
        <f aca="false">B7</f>
        <v>MTGAP</v>
      </c>
      <c r="C59" s="173" t="n">
        <f aca="false">($C$52+C7)*C26*C$53</f>
        <v>20.208</v>
      </c>
      <c r="D59" s="161" t="n">
        <f aca="false">($C$52+D7)*D26*D$53</f>
        <v>18.113</v>
      </c>
      <c r="E59" s="173" t="n">
        <f aca="false">($C$52+E7)*E26*E$53</f>
        <v>19.2032</v>
      </c>
      <c r="G59" s="129" t="str">
        <f aca="false">B59</f>
        <v>MTGAP</v>
      </c>
      <c r="H59" s="163" t="n">
        <f aca="false">C59/$C$56*70</f>
        <v>61.9053975103226</v>
      </c>
      <c r="I59" s="163" t="n">
        <f aca="false">D59/$C$56*70</f>
        <v>55.4875527070701</v>
      </c>
      <c r="J59" s="163" t="n">
        <f aca="false">E59/$C$56*70</f>
        <v>58.8272827330872</v>
      </c>
    </row>
    <row r="60" customFormat="false" ht="13" hidden="false" customHeight="false" outlineLevel="0" collapsed="false">
      <c r="B60" s="1" t="str">
        <f aca="false">B8</f>
        <v>ワカサギ</v>
      </c>
      <c r="C60" s="161" t="n">
        <f aca="false">($C$52+C8)*C27*C$53</f>
        <v>20.4344</v>
      </c>
      <c r="D60" s="173" t="n">
        <f aca="false">($C$52+D8)*D27*D$53</f>
        <v>27.87024</v>
      </c>
      <c r="E60" s="161" t="n">
        <f aca="false">($C$52+E8)*E27*E$53</f>
        <v>22.49463</v>
      </c>
      <c r="G60" s="129" t="str">
        <f aca="false">B60</f>
        <v>ワカサギ</v>
      </c>
      <c r="H60" s="163" t="n">
        <f aca="false">C60/$C$56*70</f>
        <v>62.5989536265309</v>
      </c>
      <c r="I60" s="163" t="n">
        <f aca="false">D60/$C$56*70</f>
        <v>85.3779832694029</v>
      </c>
      <c r="J60" s="163" t="n">
        <f aca="false">E60/$C$56*70</f>
        <v>68.9102836499222</v>
      </c>
    </row>
    <row r="61" customFormat="false" ht="13" hidden="false" customHeight="false" outlineLevel="0" collapsed="false">
      <c r="B61" s="1" t="str">
        <f aca="false">B9</f>
        <v>大西</v>
      </c>
      <c r="C61" s="161" t="n">
        <f aca="false">($C$52+C9)*C28*C$53</f>
        <v>17.4427</v>
      </c>
      <c r="D61" s="173" t="n">
        <f aca="false">($C$52+D9)*D28*D$53</f>
        <v>28.50484</v>
      </c>
      <c r="E61" s="161" t="n">
        <f aca="false">($C$52+E9)*E28*E$53</f>
        <v>20.5424</v>
      </c>
      <c r="G61" s="129" t="str">
        <f aca="false">B61</f>
        <v>大西</v>
      </c>
      <c r="H61" s="163" t="n">
        <f aca="false">C61/$C$56*70</f>
        <v>53.4341487110701</v>
      </c>
      <c r="I61" s="172" t="n">
        <f aca="false">D61/$C$56*70</f>
        <v>87.322023513863</v>
      </c>
      <c r="J61" s="163" t="n">
        <f aca="false">E61/$C$56*70</f>
        <v>62.9298019505172</v>
      </c>
    </row>
    <row r="62" customFormat="false" ht="13" hidden="false" customHeight="false" outlineLevel="0" collapsed="false">
      <c r="B62" s="1" t="str">
        <f aca="false">B10</f>
        <v>vbp</v>
      </c>
      <c r="C62" s="161" t="n">
        <f aca="false">($C$52+C10)*C29*C$53</f>
        <v>20.49328</v>
      </c>
      <c r="D62" s="161" t="n">
        <f aca="false">($C$52+D10)*D29*D$53</f>
        <v>22.44753</v>
      </c>
      <c r="E62" s="161" t="n">
        <f aca="false">($C$52+E10)*E29*E$53</f>
        <v>25.54434</v>
      </c>
      <c r="G62" s="129" t="str">
        <f aca="false">B62</f>
        <v>vbp</v>
      </c>
      <c r="H62" s="163" t="n">
        <f aca="false">C62/$C$56*70</f>
        <v>62.7793272313116</v>
      </c>
      <c r="I62" s="163" t="n">
        <f aca="false">D62/$C$56*70</f>
        <v>68.7659970197393</v>
      </c>
      <c r="J62" s="163" t="n">
        <f aca="false">E62/$C$56*70</f>
        <v>78.2527970031094</v>
      </c>
    </row>
    <row r="63" customFormat="false" ht="13" hidden="false" customHeight="false" outlineLevel="0" collapsed="false">
      <c r="B63" s="1" t="str">
        <f aca="false">B11</f>
        <v>FMIX12</v>
      </c>
      <c r="C63" s="161" t="n">
        <f aca="false">($C$52+C11)*C30*C$53</f>
        <v>21.21768</v>
      </c>
      <c r="D63" s="161" t="n">
        <f aca="false">($C$52+D11)*D30*D$53</f>
        <v>21.4656</v>
      </c>
      <c r="E63" s="161" t="n">
        <f aca="false">($C$52+E11)*E30*E$53</f>
        <v>26.17252</v>
      </c>
      <c r="G63" s="129" t="str">
        <f aca="false">B63</f>
        <v>FMIX12</v>
      </c>
      <c r="H63" s="172" t="n">
        <f aca="false">C63/$C$56*70</f>
        <v>64.9984617303455</v>
      </c>
      <c r="I63" s="163" t="n">
        <f aca="false">D63/$C$56*70</f>
        <v>65.7579424385184</v>
      </c>
      <c r="J63" s="172" t="n">
        <f aca="false">E63/$C$56*70</f>
        <v>80.1771701527548</v>
      </c>
    </row>
    <row r="64" customFormat="false" ht="13" hidden="false" customHeight="false" outlineLevel="0" collapsed="false">
      <c r="B64" s="1" t="str">
        <f aca="false">B12</f>
        <v>FMIX13</v>
      </c>
      <c r="C64" s="161" t="n">
        <f aca="false">($C$52+C12)*C31*C$53</f>
        <v>0</v>
      </c>
      <c r="D64" s="161" t="n">
        <f aca="false">($C$52+D12)*D31*D$53</f>
        <v>0</v>
      </c>
      <c r="E64" s="161" t="n">
        <f aca="false">($C$52+E12)*E31*E$53</f>
        <v>0</v>
      </c>
      <c r="G64" s="129" t="str">
        <f aca="false">B64</f>
        <v>FMIX13</v>
      </c>
      <c r="H64" s="163" t="n">
        <f aca="false">C64/$C$56*70</f>
        <v>0</v>
      </c>
      <c r="I64" s="163" t="n">
        <f aca="false">D64/$C$56*70</f>
        <v>0</v>
      </c>
      <c r="J64" s="163" t="n">
        <f aca="false">E64/$C$56*70</f>
        <v>0</v>
      </c>
    </row>
    <row r="65" customFormat="false" ht="13" hidden="false" customHeight="false" outlineLevel="0" collapsed="false">
      <c r="B65" s="1" t="str">
        <f aca="false">B13</f>
        <v>FMIX13R2</v>
      </c>
      <c r="C65" s="161" t="n">
        <f aca="false">($C$52+C13)*C32*C$53</f>
        <v>0</v>
      </c>
      <c r="D65" s="161" t="n">
        <f aca="false">($C$52+D13)*D32*D$53</f>
        <v>0</v>
      </c>
      <c r="E65" s="161" t="n">
        <f aca="false">($C$52+E13)*E32*E$53</f>
        <v>0</v>
      </c>
      <c r="G65" s="129" t="str">
        <f aca="false">B65</f>
        <v>FMIX13R2</v>
      </c>
      <c r="H65" s="163" t="n">
        <f aca="false">C65/$C$56*70</f>
        <v>0</v>
      </c>
      <c r="I65" s="163" t="n">
        <f aca="false">D65/$C$56*70</f>
        <v>0</v>
      </c>
      <c r="J65" s="163" t="n">
        <f aca="false">E65/$C$56*70</f>
        <v>0</v>
      </c>
    </row>
    <row r="66" customFormat="false" ht="13" hidden="false" customHeight="false" outlineLevel="0" collapsed="false">
      <c r="B66" s="1" t="str">
        <f aca="false">B14</f>
        <v>FMIX13R</v>
      </c>
      <c r="C66" s="161" t="n">
        <f aca="false">($C$52+C14)*C33*C$53</f>
        <v>0</v>
      </c>
      <c r="D66" s="161" t="n">
        <f aca="false">($C$52+D14)*D33*D$53</f>
        <v>28.96824</v>
      </c>
      <c r="E66" s="161" t="n">
        <f aca="false">($C$52+E14)*E33*E$53</f>
        <v>25.31988</v>
      </c>
      <c r="G66" s="129" t="str">
        <f aca="false">B66</f>
        <v>FMIX13R</v>
      </c>
      <c r="H66" s="163" t="n">
        <f aca="false">C66/$C$56*70</f>
        <v>0</v>
      </c>
      <c r="I66" s="172" t="n">
        <f aca="false">D66/$C$56*70</f>
        <v>88.7416078965968</v>
      </c>
      <c r="J66" s="163" t="n">
        <f aca="false">E66/$C$56*70</f>
        <v>77.5651839030912</v>
      </c>
    </row>
    <row r="67" customFormat="false" ht="13" hidden="false" customHeight="false" outlineLevel="0" collapsed="false">
      <c r="B67" s="1" t="str">
        <f aca="false">B15</f>
        <v>FMIX14s</v>
      </c>
      <c r="C67" s="161" t="n">
        <f aca="false">($C$52+C15)*C34*C$53</f>
        <v>0</v>
      </c>
      <c r="D67" s="161" t="n">
        <f aca="false">($C$52+D15)*D34*D$53</f>
        <v>23.05146</v>
      </c>
      <c r="E67" s="161" t="n">
        <f aca="false">($C$52+E15)*E34*E$53</f>
        <v>27.58149</v>
      </c>
      <c r="G67" s="129" t="str">
        <f aca="false">B67</f>
        <v>FMIX14s</v>
      </c>
      <c r="H67" s="163" t="n">
        <f aca="false">C67/$C$56*70</f>
        <v>0</v>
      </c>
      <c r="I67" s="163" t="n">
        <f aca="false">D67/$C$56*70</f>
        <v>70.6160824670082</v>
      </c>
      <c r="J67" s="163" t="n">
        <f aca="false">E67/$C$56*70</f>
        <v>84.4934235143007</v>
      </c>
    </row>
    <row r="68" customFormat="false" ht="12.8" hidden="false" customHeight="true" outlineLevel="0" collapsed="false">
      <c r="B68" s="1" t="n">
        <f aca="false">B16</f>
        <v>0</v>
      </c>
      <c r="C68" s="161" t="n">
        <f aca="false">($C$52+C16)*C35*C$53</f>
        <v>0</v>
      </c>
      <c r="D68" s="161" t="n">
        <f aca="false">($C$52+D16)*D35*D$53</f>
        <v>0</v>
      </c>
      <c r="E68" s="161" t="n">
        <f aca="false">($C$52+E16)*E35*E$53</f>
        <v>0</v>
      </c>
      <c r="G68" s="129" t="n">
        <f aca="false">B68</f>
        <v>0</v>
      </c>
      <c r="H68" s="163" t="n">
        <f aca="false">C68/$C$56*70</f>
        <v>0</v>
      </c>
      <c r="I68" s="163" t="n">
        <f aca="false">D68/$C$56*70</f>
        <v>0</v>
      </c>
      <c r="J68" s="163" t="n">
        <f aca="false">E68/$C$56*70</f>
        <v>0</v>
      </c>
    </row>
    <row r="69" customFormat="false" ht="12.8" hidden="false" customHeight="true" outlineLevel="0" collapsed="false">
      <c r="B69" s="1" t="str">
        <f aca="false">B17</f>
        <v>vbp r</v>
      </c>
      <c r="C69" s="161" t="n">
        <f aca="false">($C$52+C17)*C36*C$53</f>
        <v>0</v>
      </c>
      <c r="D69" s="161" t="n">
        <f aca="false">($C$52+D17)*D36*D$53</f>
        <v>0</v>
      </c>
      <c r="E69" s="161" t="n">
        <f aca="false">($C$52+E17)*E36*E$53</f>
        <v>0</v>
      </c>
      <c r="G69" s="129" t="str">
        <f aca="false">B69</f>
        <v>vbp r</v>
      </c>
      <c r="H69" s="163" t="n">
        <f aca="false">C69/$C$56*70</f>
        <v>0</v>
      </c>
      <c r="I69" s="163" t="n">
        <f aca="false">D69/$C$56*70</f>
        <v>0</v>
      </c>
      <c r="J69" s="163" t="n">
        <f aca="false">E69/$C$56*70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44" activeCellId="1" sqref="AS19:CI24 C4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08"/>
    <col collapsed="false" customWidth="true" hidden="false" outlineLevel="0" max="2" min="2" style="1" width="15.94"/>
    <col collapsed="false" customWidth="true" hidden="false" outlineLevel="0" max="7" min="7" style="1" width="15.94"/>
  </cols>
  <sheetData>
    <row r="1" customFormat="false" ht="12.8" hidden="false" customHeight="false" outlineLevel="0" collapsed="false">
      <c r="A1" s="129"/>
      <c r="B1" s="129"/>
      <c r="C1" s="129"/>
      <c r="D1" s="129"/>
      <c r="E1" s="129"/>
    </row>
    <row r="2" customFormat="false" ht="24" hidden="false" customHeight="false" outlineLevel="0" collapsed="false">
      <c r="A2" s="129" t="s">
        <v>924</v>
      </c>
      <c r="B2" s="129" t="s">
        <v>925</v>
      </c>
      <c r="C2" s="120" t="s">
        <v>926</v>
      </c>
      <c r="D2" s="120" t="s">
        <v>927</v>
      </c>
      <c r="E2" s="120" t="s">
        <v>928</v>
      </c>
      <c r="F2" s="120" t="s">
        <v>955</v>
      </c>
      <c r="G2" s="129"/>
      <c r="H2" s="120" t="s">
        <v>926</v>
      </c>
      <c r="I2" s="120" t="s">
        <v>927</v>
      </c>
      <c r="J2" s="120" t="s">
        <v>928</v>
      </c>
      <c r="K2" s="120"/>
    </row>
    <row r="3" customFormat="false" ht="13" hidden="false" customHeight="false" outlineLevel="0" collapsed="false">
      <c r="A3" s="129" t="s">
        <v>929</v>
      </c>
      <c r="B3" s="129" t="s">
        <v>930</v>
      </c>
      <c r="C3" s="154" t="n">
        <v>0.085</v>
      </c>
      <c r="D3" s="154" t="n">
        <v>0.115</v>
      </c>
      <c r="E3" s="154" t="n">
        <v>0.081</v>
      </c>
      <c r="F3" s="129"/>
      <c r="G3" s="129" t="str">
        <f aca="false">B3</f>
        <v>qwerty</v>
      </c>
      <c r="H3" s="129"/>
      <c r="I3" s="129"/>
      <c r="J3" s="129"/>
      <c r="K3" s="129"/>
      <c r="M3" s="129"/>
      <c r="N3" s="129"/>
      <c r="O3" s="129"/>
      <c r="P3" s="129"/>
    </row>
    <row r="4" customFormat="false" ht="13" hidden="false" customHeight="false" outlineLevel="0" collapsed="false">
      <c r="A4" s="129" t="s">
        <v>931</v>
      </c>
      <c r="B4" s="129" t="s">
        <v>932</v>
      </c>
      <c r="C4" s="155" t="n">
        <v>0.359</v>
      </c>
      <c r="D4" s="154" t="n">
        <v>0.359</v>
      </c>
      <c r="E4" s="155" t="n">
        <v>0.384</v>
      </c>
      <c r="F4" s="129"/>
      <c r="G4" s="129" t="str">
        <f aca="false">B4</f>
        <v>Colemak</v>
      </c>
      <c r="H4" s="129"/>
      <c r="I4" s="129"/>
      <c r="J4" s="129"/>
      <c r="K4" s="129"/>
      <c r="M4" s="129"/>
      <c r="N4" s="129"/>
      <c r="O4" s="129"/>
      <c r="P4" s="129"/>
    </row>
    <row r="5" customFormat="false" ht="13" hidden="false" customHeight="false" outlineLevel="0" collapsed="false">
      <c r="A5" s="129" t="s">
        <v>933</v>
      </c>
      <c r="B5" s="129" t="s">
        <v>934</v>
      </c>
      <c r="C5" s="154" t="n">
        <v>0.346</v>
      </c>
      <c r="D5" s="154" t="n">
        <v>0.322</v>
      </c>
      <c r="E5" s="155" t="n">
        <v>0.383</v>
      </c>
      <c r="F5" s="156" t="n">
        <v>0.326</v>
      </c>
      <c r="G5" s="129" t="str">
        <f aca="false">B5</f>
        <v>FMIX14</v>
      </c>
      <c r="H5" s="129"/>
      <c r="I5" s="129"/>
      <c r="J5" s="129"/>
      <c r="K5" s="129"/>
      <c r="M5" s="129"/>
      <c r="N5" s="129"/>
      <c r="O5" s="129"/>
      <c r="P5" s="129"/>
    </row>
    <row r="6" customFormat="false" ht="13" hidden="false" customHeight="false" outlineLevel="0" collapsed="false">
      <c r="A6" s="129" t="s">
        <v>935</v>
      </c>
      <c r="B6" s="129" t="s">
        <v>936</v>
      </c>
      <c r="C6" s="154" t="n">
        <v>0.293</v>
      </c>
      <c r="D6" s="155" t="n">
        <v>0.404</v>
      </c>
      <c r="E6" s="154" t="n">
        <v>0.37</v>
      </c>
      <c r="F6" s="129" t="n">
        <v>0.409</v>
      </c>
      <c r="G6" s="129" t="str">
        <f aca="false">B6</f>
        <v>FMIX14R</v>
      </c>
      <c r="H6" s="129"/>
      <c r="I6" s="129"/>
      <c r="J6" s="129"/>
      <c r="K6" s="129"/>
      <c r="M6" s="129"/>
      <c r="N6" s="129"/>
      <c r="O6" s="129"/>
      <c r="P6" s="129"/>
    </row>
    <row r="7" customFormat="false" ht="13" hidden="false" customHeight="false" outlineLevel="0" collapsed="false">
      <c r="A7" s="1" t="s">
        <v>937</v>
      </c>
      <c r="B7" s="1" t="s">
        <v>938</v>
      </c>
      <c r="C7" s="154" t="n">
        <v>0.32</v>
      </c>
      <c r="D7" s="154" t="n">
        <v>0.295</v>
      </c>
      <c r="E7" s="154" t="n">
        <v>0.32</v>
      </c>
      <c r="G7" s="129" t="str">
        <f aca="false">B7</f>
        <v>MTGAP</v>
      </c>
      <c r="H7" s="129"/>
      <c r="I7" s="129"/>
      <c r="J7" s="157"/>
      <c r="K7" s="129"/>
      <c r="M7" s="129"/>
      <c r="N7" s="129"/>
      <c r="O7" s="129"/>
      <c r="P7" s="129"/>
    </row>
    <row r="8" customFormat="false" ht="13" hidden="false" customHeight="false" outlineLevel="0" collapsed="false">
      <c r="A8" s="129" t="s">
        <v>939</v>
      </c>
      <c r="B8" s="129" t="s">
        <v>940</v>
      </c>
      <c r="C8" s="154" t="n">
        <v>0.328</v>
      </c>
      <c r="D8" s="154" t="n">
        <v>0.372</v>
      </c>
      <c r="E8" s="154" t="n">
        <v>0.311</v>
      </c>
      <c r="F8" s="129"/>
      <c r="G8" s="129" t="str">
        <f aca="false">B8</f>
        <v>ワカサギ</v>
      </c>
      <c r="H8" s="129"/>
      <c r="I8" s="129"/>
      <c r="J8" s="129"/>
      <c r="K8" s="129"/>
      <c r="M8" s="129"/>
      <c r="N8" s="129"/>
      <c r="O8" s="129"/>
      <c r="P8" s="129"/>
    </row>
    <row r="9" customFormat="false" ht="13" hidden="false" customHeight="false" outlineLevel="0" collapsed="false">
      <c r="A9" s="129"/>
      <c r="B9" s="129" t="s">
        <v>941</v>
      </c>
      <c r="C9" s="154" t="n">
        <v>0.314</v>
      </c>
      <c r="D9" s="154" t="n">
        <v>0.382</v>
      </c>
      <c r="E9" s="154" t="n">
        <v>0.37</v>
      </c>
      <c r="F9" s="158"/>
      <c r="G9" s="129" t="str">
        <f aca="false">B9</f>
        <v>大西</v>
      </c>
      <c r="H9" s="129"/>
      <c r="I9" s="129"/>
      <c r="J9" s="157"/>
      <c r="K9" s="129"/>
      <c r="M9" s="129"/>
      <c r="N9" s="129"/>
      <c r="O9" s="129"/>
      <c r="P9" s="129"/>
    </row>
    <row r="10" customFormat="false" ht="13" hidden="false" customHeight="false" outlineLevel="0" collapsed="false">
      <c r="A10" s="129" t="s">
        <v>942</v>
      </c>
      <c r="B10" s="129" t="s">
        <v>943</v>
      </c>
      <c r="C10" s="154" t="n">
        <v>0.349</v>
      </c>
      <c r="D10" s="154" t="n">
        <v>0.321</v>
      </c>
      <c r="E10" s="154" t="n">
        <v>0.382</v>
      </c>
      <c r="G10" s="129" t="str">
        <f aca="false">B10</f>
        <v>vbp</v>
      </c>
      <c r="H10" s="129"/>
      <c r="I10" s="129"/>
      <c r="J10" s="129"/>
      <c r="K10" s="129"/>
      <c r="M10" s="129"/>
      <c r="N10" s="129"/>
      <c r="O10" s="129"/>
      <c r="P10" s="129"/>
    </row>
    <row r="11" customFormat="false" ht="13" hidden="false" customHeight="false" outlineLevel="0" collapsed="false">
      <c r="A11" s="129" t="s">
        <v>956</v>
      </c>
      <c r="B11" s="1" t="s">
        <v>944</v>
      </c>
      <c r="C11" s="154" t="n">
        <v>0.342</v>
      </c>
      <c r="D11" s="154" t="n">
        <v>0.312</v>
      </c>
      <c r="E11" s="154" t="n">
        <v>0.374</v>
      </c>
      <c r="F11" s="1" t="n">
        <v>0.316</v>
      </c>
      <c r="G11" s="129" t="str">
        <f aca="false">B11</f>
        <v>FMIX12</v>
      </c>
      <c r="H11" s="129"/>
      <c r="I11" s="129"/>
      <c r="J11" s="129"/>
      <c r="K11" s="129"/>
      <c r="M11" s="129"/>
      <c r="N11" s="129"/>
      <c r="O11" s="129"/>
      <c r="P11" s="129"/>
    </row>
    <row r="12" customFormat="false" ht="13" hidden="false" customHeight="false" outlineLevel="0" collapsed="false">
      <c r="A12" s="129" t="s">
        <v>957</v>
      </c>
      <c r="B12" s="1" t="s">
        <v>945</v>
      </c>
      <c r="C12" s="154" t="n">
        <v>0.344</v>
      </c>
      <c r="D12" s="154" t="n">
        <v>0.32</v>
      </c>
      <c r="E12" s="154" t="n">
        <v>0.381</v>
      </c>
      <c r="F12" s="1" t="n">
        <v>0.324</v>
      </c>
      <c r="G12" s="129" t="str">
        <f aca="false">B12</f>
        <v>FMIX13</v>
      </c>
      <c r="H12" s="129"/>
      <c r="I12" s="129"/>
      <c r="J12" s="129"/>
      <c r="K12" s="129"/>
      <c r="M12" s="129"/>
      <c r="N12" s="129"/>
      <c r="O12" s="129"/>
      <c r="P12" s="129"/>
    </row>
    <row r="13" customFormat="false" ht="13" hidden="false" customHeight="false" outlineLevel="0" collapsed="false">
      <c r="A13" s="129"/>
      <c r="B13" s="1" t="s">
        <v>946</v>
      </c>
      <c r="C13" s="154"/>
      <c r="D13" s="154"/>
      <c r="E13" s="154"/>
      <c r="G13" s="129" t="str">
        <f aca="false">B13</f>
        <v>FMIX13R2</v>
      </c>
      <c r="H13" s="129"/>
      <c r="I13" s="129"/>
      <c r="J13" s="129"/>
      <c r="K13" s="129"/>
      <c r="M13" s="129"/>
      <c r="N13" s="129"/>
      <c r="O13" s="129"/>
      <c r="P13" s="129"/>
    </row>
    <row r="14" customFormat="false" ht="13" hidden="false" customHeight="false" outlineLevel="0" collapsed="false">
      <c r="A14" s="129" t="s">
        <v>947</v>
      </c>
      <c r="B14" s="1" t="s">
        <v>948</v>
      </c>
      <c r="C14" s="154" t="n">
        <v>0.292</v>
      </c>
      <c r="D14" s="159" t="n">
        <v>0.401</v>
      </c>
      <c r="E14" s="154" t="n">
        <v>0.366</v>
      </c>
      <c r="F14" s="1" t="n">
        <v>0.405</v>
      </c>
      <c r="G14" s="129" t="str">
        <f aca="false">B14</f>
        <v>FMIX13R</v>
      </c>
      <c r="H14" s="129"/>
      <c r="I14" s="129"/>
      <c r="J14" s="129"/>
      <c r="K14" s="129"/>
      <c r="M14" s="129"/>
      <c r="N14" s="129"/>
      <c r="O14" s="129"/>
      <c r="P14" s="129"/>
    </row>
    <row r="15" customFormat="false" ht="13" hidden="false" customHeight="false" outlineLevel="0" collapsed="false">
      <c r="A15" s="129" t="s">
        <v>949</v>
      </c>
      <c r="B15" s="1" t="s">
        <v>950</v>
      </c>
      <c r="C15" s="154" t="n">
        <v>0.346</v>
      </c>
      <c r="D15" s="154" t="n">
        <v>0.326</v>
      </c>
      <c r="E15" s="154" t="n">
        <v>0.387</v>
      </c>
      <c r="F15" s="1" t="n">
        <v>0.33</v>
      </c>
      <c r="G15" s="129" t="str">
        <f aca="false">B15</f>
        <v>FMIX14s</v>
      </c>
      <c r="H15" s="129"/>
      <c r="I15" s="129"/>
      <c r="J15" s="129"/>
      <c r="K15" s="129"/>
      <c r="M15" s="129"/>
      <c r="N15" s="129"/>
      <c r="O15" s="129"/>
      <c r="P15" s="129"/>
    </row>
    <row r="16" customFormat="false" ht="13" hidden="false" customHeight="false" outlineLevel="0" collapsed="false">
      <c r="A16" s="129"/>
      <c r="B16" s="1" t="s">
        <v>44</v>
      </c>
      <c r="C16" s="154" t="n">
        <v>0.352</v>
      </c>
      <c r="D16" s="154" t="n">
        <v>0.313</v>
      </c>
      <c r="E16" s="154" t="n">
        <v>0.375</v>
      </c>
      <c r="F16" s="1"/>
      <c r="G16" s="129"/>
      <c r="H16" s="129"/>
      <c r="I16" s="129"/>
      <c r="J16" s="129"/>
      <c r="K16" s="129"/>
      <c r="M16" s="129"/>
      <c r="N16" s="129"/>
      <c r="O16" s="129"/>
      <c r="P16" s="129"/>
    </row>
    <row r="17" customFormat="false" ht="12.8" hidden="false" customHeight="false" outlineLevel="0" collapsed="false">
      <c r="A17" s="129"/>
      <c r="C17" s="154"/>
      <c r="D17" s="154"/>
      <c r="E17" s="154"/>
      <c r="F17" s="1"/>
      <c r="G17" s="129"/>
      <c r="H17" s="129"/>
      <c r="I17" s="129"/>
      <c r="J17" s="129"/>
      <c r="K17" s="129"/>
      <c r="M17" s="129"/>
      <c r="N17" s="129"/>
      <c r="O17" s="129"/>
      <c r="P17" s="129"/>
    </row>
    <row r="18" customFormat="false" ht="12.8" hidden="false" customHeight="false" outlineLevel="0" collapsed="false">
      <c r="A18" s="129"/>
      <c r="C18" s="154"/>
      <c r="D18" s="154"/>
      <c r="E18" s="154"/>
      <c r="G18" s="129"/>
      <c r="H18" s="129"/>
      <c r="I18" s="129"/>
      <c r="J18" s="129"/>
      <c r="K18" s="129"/>
      <c r="M18" s="129"/>
      <c r="N18" s="129"/>
      <c r="O18" s="129"/>
      <c r="P18" s="129"/>
    </row>
    <row r="19" customFormat="false" ht="13" hidden="false" customHeight="false" outlineLevel="0" collapsed="false">
      <c r="A19" s="1" t="s">
        <v>951</v>
      </c>
      <c r="B19" s="129" t="s">
        <v>952</v>
      </c>
      <c r="C19" s="154" t="n">
        <v>0.296</v>
      </c>
      <c r="D19" s="154" t="n">
        <v>0.403</v>
      </c>
      <c r="E19" s="154" t="n">
        <v>0.369</v>
      </c>
      <c r="G19" s="129" t="str">
        <f aca="false">B19</f>
        <v>vbp r</v>
      </c>
      <c r="H19" s="129"/>
      <c r="I19" s="129"/>
      <c r="J19" s="129"/>
      <c r="K19" s="129"/>
      <c r="M19" s="129"/>
      <c r="N19" s="129"/>
      <c r="O19" s="129"/>
      <c r="P19" s="129"/>
    </row>
    <row r="20" customFormat="false" ht="13" hidden="false" customHeight="false" outlineLevel="0" collapsed="false">
      <c r="A20" s="129" t="s">
        <v>953</v>
      </c>
      <c r="B20" s="129" t="s">
        <v>954</v>
      </c>
      <c r="C20" s="154" t="n">
        <v>0.349</v>
      </c>
      <c r="D20" s="154" t="n">
        <v>0.321</v>
      </c>
      <c r="E20" s="154" t="n">
        <v>0.382</v>
      </c>
      <c r="G20" s="129" t="str">
        <f aca="false">B20</f>
        <v>vbd</v>
      </c>
      <c r="H20" s="129"/>
      <c r="I20" s="129"/>
      <c r="J20" s="129"/>
      <c r="K20" s="129"/>
      <c r="M20" s="129"/>
      <c r="N20" s="129"/>
      <c r="O20" s="129"/>
      <c r="P20" s="129"/>
    </row>
    <row r="21" customFormat="false" ht="12.8" hidden="false" customHeight="true" outlineLevel="0" collapsed="false">
      <c r="H21" s="129"/>
      <c r="I21" s="129"/>
      <c r="J21" s="129"/>
      <c r="K21" s="129"/>
    </row>
    <row r="22" customFormat="false" ht="12.8" hidden="false" customHeight="false" outlineLevel="0" collapsed="false">
      <c r="E22" s="129"/>
      <c r="F22" s="129"/>
      <c r="G22" s="129"/>
      <c r="H22" s="129"/>
    </row>
    <row r="23" customFormat="false" ht="24" hidden="false" customHeight="false" outlineLevel="0" collapsed="false">
      <c r="B23" s="1" t="str">
        <f aca="false">B2</f>
        <v>レイアウト</v>
      </c>
      <c r="C23" s="1" t="str">
        <f aca="false">C2</f>
        <v>英文</v>
      </c>
      <c r="D23" s="1" t="str">
        <f aca="false">D2</f>
        <v>ローマ字</v>
      </c>
      <c r="E23" s="160" t="str">
        <f aca="false">E2</f>
        <v>ローマ字
(k→c)</v>
      </c>
      <c r="F23" s="160" t="str">
        <f aca="false">F2</f>
        <v>ローマ字
(最適化)</v>
      </c>
      <c r="G23" s="129"/>
      <c r="H23" s="1" t="str">
        <f aca="false">H2</f>
        <v>英文</v>
      </c>
      <c r="I23" s="1" t="str">
        <f aca="false">I2</f>
        <v>ローマ字</v>
      </c>
      <c r="J23" s="160" t="str">
        <f aca="false">J2</f>
        <v>ローマ字
(k→c)</v>
      </c>
    </row>
    <row r="24" customFormat="false" ht="13" hidden="false" customHeight="false" outlineLevel="0" collapsed="false">
      <c r="B24" s="1" t="str">
        <f aca="false">B3</f>
        <v>qwerty</v>
      </c>
      <c r="C24" s="161" t="n">
        <v>36.12</v>
      </c>
      <c r="D24" s="161" t="n">
        <v>32.39</v>
      </c>
      <c r="E24" s="162" t="n">
        <v>34.38</v>
      </c>
      <c r="F24" s="129"/>
      <c r="G24" s="1" t="str">
        <f aca="false">G3</f>
        <v>qwerty</v>
      </c>
      <c r="H24" s="163" t="n">
        <f aca="false">C24/$C$25*70</f>
        <v>39.7234878240377</v>
      </c>
      <c r="I24" s="163" t="n">
        <f aca="false">D24/$C$25*70</f>
        <v>35.6213668499607</v>
      </c>
      <c r="J24" s="163" t="n">
        <f aca="false">E24/$C$25*70</f>
        <v>37.8098978790259</v>
      </c>
    </row>
    <row r="25" customFormat="false" ht="13" hidden="false" customHeight="false" outlineLevel="0" collapsed="false">
      <c r="B25" s="1" t="str">
        <f aca="false">B4</f>
        <v>Colemak</v>
      </c>
      <c r="C25" s="129" t="n">
        <v>63.65</v>
      </c>
      <c r="D25" s="129" t="n">
        <v>68.3</v>
      </c>
      <c r="E25" s="129" t="n">
        <v>70.34</v>
      </c>
      <c r="F25" s="129"/>
      <c r="G25" s="1" t="str">
        <f aca="false">G4</f>
        <v>Colemak</v>
      </c>
      <c r="H25" s="163" t="n">
        <f aca="false">C25/$C$25*70</f>
        <v>70</v>
      </c>
      <c r="I25" s="163" t="n">
        <f aca="false">D25/$C$25*70</f>
        <v>75.1139041633936</v>
      </c>
      <c r="J25" s="165"/>
    </row>
    <row r="26" customFormat="false" ht="13" hidden="false" customHeight="false" outlineLevel="0" collapsed="false">
      <c r="B26" s="1" t="str">
        <f aca="false">B5</f>
        <v>FMIX14</v>
      </c>
      <c r="C26" s="171" t="n">
        <v>63.68</v>
      </c>
      <c r="D26" s="129" t="n">
        <v>70.66</v>
      </c>
      <c r="E26" s="129" t="n">
        <v>71.37</v>
      </c>
      <c r="F26" s="129" t="n">
        <v>70.6</v>
      </c>
      <c r="G26" s="1" t="str">
        <f aca="false">G5</f>
        <v>FMIX14</v>
      </c>
      <c r="H26" s="163" t="n">
        <f aca="false">C26/$C$25*70</f>
        <v>70.0329929300864</v>
      </c>
      <c r="I26" s="163" t="n">
        <f aca="false">D26/$C$25*70</f>
        <v>77.7093479968578</v>
      </c>
      <c r="J26" s="165" t="n">
        <f aca="false">E26/$C$25*70</f>
        <v>78.4901806755695</v>
      </c>
    </row>
    <row r="27" customFormat="false" ht="13" hidden="false" customHeight="false" outlineLevel="0" collapsed="false">
      <c r="B27" s="1" t="str">
        <f aca="false">B6</f>
        <v>FMIX14R</v>
      </c>
      <c r="C27" s="156" t="n">
        <v>58.04</v>
      </c>
      <c r="D27" s="129" t="n">
        <v>72.93</v>
      </c>
      <c r="E27" s="156" t="n">
        <v>69.89</v>
      </c>
      <c r="F27" s="129" t="n">
        <v>73.4</v>
      </c>
      <c r="G27" s="1" t="str">
        <f aca="false">G6</f>
        <v>FMIX14R</v>
      </c>
      <c r="H27" s="163" t="n">
        <f aca="false">C27/$C$25*70</f>
        <v>63.8303220738413</v>
      </c>
      <c r="I27" s="165" t="n">
        <f aca="false">D27/$C$25*70</f>
        <v>80.2058130400629</v>
      </c>
      <c r="J27" s="163" t="n">
        <f aca="false">E27/$C$25*70</f>
        <v>76.8625294579733</v>
      </c>
    </row>
    <row r="28" customFormat="false" ht="13" hidden="false" customHeight="false" outlineLevel="0" collapsed="false">
      <c r="B28" s="1" t="str">
        <f aca="false">B7</f>
        <v>MTGAP</v>
      </c>
      <c r="C28" s="164" t="n">
        <v>63.15</v>
      </c>
      <c r="D28" s="167" t="n">
        <v>61.4</v>
      </c>
      <c r="E28" s="164" t="n">
        <v>60.01</v>
      </c>
      <c r="F28" s="129"/>
      <c r="G28" s="1" t="str">
        <f aca="false">G7</f>
        <v>MTGAP</v>
      </c>
      <c r="H28" s="163" t="n">
        <f aca="false">C28/$C$25*70</f>
        <v>69.4501178318932</v>
      </c>
      <c r="I28" s="163" t="n">
        <f aca="false">D28/$C$25*70</f>
        <v>67.5255302435192</v>
      </c>
      <c r="J28" s="163" t="n">
        <f aca="false">E28/$C$25*70</f>
        <v>65.9968578161822</v>
      </c>
    </row>
    <row r="29" customFormat="false" ht="12.8" hidden="false" customHeight="false" outlineLevel="0" collapsed="false">
      <c r="B29" s="1" t="str">
        <f aca="false">B8</f>
        <v>ワカサギ</v>
      </c>
      <c r="C29" s="161" t="n">
        <v>62.3</v>
      </c>
      <c r="D29" s="168" t="n">
        <v>74.92</v>
      </c>
      <c r="E29" s="161" t="n">
        <v>72.33</v>
      </c>
      <c r="F29" s="129"/>
      <c r="G29" s="1" t="str">
        <f aca="false">G8</f>
        <v>ワカサギ</v>
      </c>
      <c r="H29" s="163" t="n">
        <f aca="false">C29/$C$25*70</f>
        <v>68.5153181461115</v>
      </c>
      <c r="I29" s="163" t="n">
        <f aca="false">D29/$C$25*70</f>
        <v>82.3943440691281</v>
      </c>
      <c r="J29" s="163" t="n">
        <f aca="false">E29/$C$25*70</f>
        <v>79.5459544383347</v>
      </c>
    </row>
    <row r="30" customFormat="false" ht="13" hidden="false" customHeight="false" outlineLevel="0" collapsed="false">
      <c r="B30" s="1" t="str">
        <f aca="false">B9</f>
        <v>大西</v>
      </c>
      <c r="C30" s="164" t="n">
        <v>55.55</v>
      </c>
      <c r="D30" s="167" t="n">
        <v>74.62</v>
      </c>
      <c r="E30" s="161" t="n">
        <v>55.52</v>
      </c>
      <c r="F30" s="129"/>
      <c r="G30" s="1" t="str">
        <f aca="false">G9</f>
        <v>大西</v>
      </c>
      <c r="H30" s="163" t="n">
        <f aca="false">C30/$C$25*70</f>
        <v>61.0919088766693</v>
      </c>
      <c r="I30" s="163" t="n">
        <f aca="false">D30/$C$25*70</f>
        <v>82.064414768264</v>
      </c>
      <c r="J30" s="163" t="n">
        <f aca="false">E30/$C$25*70</f>
        <v>61.0589159465829</v>
      </c>
    </row>
    <row r="31" customFormat="false" ht="12.8" hidden="false" customHeight="false" outlineLevel="0" collapsed="false">
      <c r="B31" s="1" t="str">
        <f aca="false">B10</f>
        <v>vbp</v>
      </c>
      <c r="D31" s="1"/>
      <c r="E31" s="158"/>
      <c r="F31" s="129"/>
      <c r="G31" s="1" t="str">
        <f aca="false">G10</f>
        <v>vbp</v>
      </c>
      <c r="H31" s="163" t="n">
        <f aca="false">C31/$C$25*70</f>
        <v>0</v>
      </c>
      <c r="I31" s="163" t="n">
        <f aca="false">D31/$C$25*70</f>
        <v>0</v>
      </c>
      <c r="J31" s="163" t="n">
        <f aca="false">E31/$C$25*70</f>
        <v>0</v>
      </c>
    </row>
    <row r="32" customFormat="false" ht="13" hidden="false" customHeight="false" outlineLevel="0" collapsed="false">
      <c r="B32" s="1" t="str">
        <f aca="false">B11</f>
        <v>FMIX12</v>
      </c>
      <c r="C32" s="1" t="n">
        <v>62.04</v>
      </c>
      <c r="D32" s="1" t="n">
        <v>69.34</v>
      </c>
      <c r="E32" s="129" t="n">
        <v>70.79</v>
      </c>
      <c r="F32" s="129"/>
      <c r="G32" s="1" t="str">
        <f aca="false">G11</f>
        <v>FMIX12</v>
      </c>
      <c r="H32" s="163" t="n">
        <f aca="false">C32/$C$25*70</f>
        <v>68.229379418696</v>
      </c>
      <c r="I32" s="163" t="n">
        <f aca="false">D32/$C$25*70</f>
        <v>76.2576590730558</v>
      </c>
      <c r="J32" s="163" t="n">
        <f aca="false">E32/$C$25*70</f>
        <v>77.8523173605656</v>
      </c>
    </row>
    <row r="33" customFormat="false" ht="13" hidden="false" customHeight="false" outlineLevel="0" collapsed="false">
      <c r="A33" s="1" t="s">
        <v>462</v>
      </c>
      <c r="B33" s="1" t="str">
        <f aca="false">B12</f>
        <v>FMIX13</v>
      </c>
      <c r="C33" s="1" t="n">
        <v>63.04</v>
      </c>
      <c r="D33" s="1" t="n">
        <v>70.66</v>
      </c>
      <c r="E33" s="129" t="n">
        <v>70.57</v>
      </c>
      <c r="F33" s="129"/>
      <c r="G33" s="1" t="str">
        <f aca="false">G12</f>
        <v>FMIX13</v>
      </c>
      <c r="H33" s="163" t="n">
        <f aca="false">C33/$C$25*70</f>
        <v>69.3291437549097</v>
      </c>
      <c r="I33" s="163" t="n">
        <f aca="false">D33/$C$25*70</f>
        <v>77.7093479968578</v>
      </c>
      <c r="J33" s="163" t="n">
        <f aca="false">E33/$C$25*70</f>
        <v>77.6103692065986</v>
      </c>
    </row>
    <row r="34" customFormat="false" ht="12.8" hidden="false" customHeight="false" outlineLevel="0" collapsed="false">
      <c r="B34" s="1" t="str">
        <f aca="false">B13</f>
        <v>FMIX13R2</v>
      </c>
      <c r="E34" s="129"/>
      <c r="F34" s="129"/>
      <c r="G34" s="1" t="str">
        <f aca="false">G13</f>
        <v>FMIX13R2</v>
      </c>
      <c r="H34" s="163" t="n">
        <f aca="false">C34/$C$25*70</f>
        <v>0</v>
      </c>
      <c r="I34" s="163" t="n">
        <f aca="false">D34/$C$25*70</f>
        <v>0</v>
      </c>
      <c r="J34" s="163" t="n">
        <f aca="false">E34/$C$25*70</f>
        <v>0</v>
      </c>
    </row>
    <row r="35" customFormat="false" ht="13" hidden="false" customHeight="false" outlineLevel="0" collapsed="false">
      <c r="B35" s="1" t="str">
        <f aca="false">B14</f>
        <v>FMIX13R</v>
      </c>
      <c r="C35" s="161" t="n">
        <v>58.3</v>
      </c>
      <c r="D35" s="1" t="n">
        <v>73.05</v>
      </c>
      <c r="E35" s="129" t="n">
        <v>70</v>
      </c>
      <c r="F35" s="129" t="n">
        <v>73.53</v>
      </c>
      <c r="G35" s="1" t="str">
        <f aca="false">G14</f>
        <v>FMIX13R</v>
      </c>
      <c r="H35" s="163" t="n">
        <f aca="false">C35/$C$25*70</f>
        <v>64.1162608012569</v>
      </c>
      <c r="I35" s="163" t="n">
        <f aca="false">D35/$C$25*70</f>
        <v>80.3377847604085</v>
      </c>
      <c r="J35" s="163" t="n">
        <f aca="false">E35/$C$25*70</f>
        <v>76.9835035349568</v>
      </c>
    </row>
    <row r="36" customFormat="false" ht="13" hidden="false" customHeight="false" outlineLevel="0" collapsed="false">
      <c r="B36" s="1" t="str">
        <f aca="false">B15</f>
        <v>FMIX14s</v>
      </c>
      <c r="C36" s="170" t="n">
        <v>63.31</v>
      </c>
      <c r="D36" s="1" t="n">
        <v>71.39</v>
      </c>
      <c r="E36" s="129" t="n">
        <v>71.27</v>
      </c>
      <c r="F36" s="129" t="n">
        <v>71.33</v>
      </c>
      <c r="G36" s="1" t="str">
        <f aca="false">G15</f>
        <v>FMIX14s</v>
      </c>
      <c r="H36" s="163" t="n">
        <f aca="false">C36/$C$25*70</f>
        <v>69.6260801256874</v>
      </c>
      <c r="I36" s="163" t="n">
        <f aca="false">D36/$C$25*70</f>
        <v>78.5121759622938</v>
      </c>
      <c r="J36" s="163" t="n">
        <f aca="false">E36/$C$25*70</f>
        <v>78.3802042419482</v>
      </c>
    </row>
    <row r="37" customFormat="false" ht="13" hidden="false" customHeight="false" outlineLevel="0" collapsed="false">
      <c r="B37" s="1" t="str">
        <f aca="false">B16</f>
        <v>FMIX15</v>
      </c>
      <c r="C37" s="170" t="n">
        <v>64.28</v>
      </c>
      <c r="D37" s="175" t="n">
        <v>69.74</v>
      </c>
      <c r="E37" s="176" t="n">
        <v>70.9</v>
      </c>
      <c r="F37" s="129"/>
      <c r="H37" s="163"/>
      <c r="I37" s="163"/>
      <c r="J37" s="163"/>
    </row>
    <row r="38" customFormat="false" ht="12.8" hidden="false" customHeight="false" outlineLevel="0" collapsed="false">
      <c r="B38" s="1" t="s">
        <v>958</v>
      </c>
      <c r="C38" s="170" t="n">
        <v>64.21</v>
      </c>
      <c r="D38" s="1" t="n">
        <v>70.06</v>
      </c>
      <c r="E38" s="129"/>
      <c r="F38" s="129"/>
      <c r="H38" s="163"/>
      <c r="I38" s="163"/>
      <c r="J38" s="163"/>
    </row>
    <row r="39" customFormat="false" ht="13" hidden="false" customHeight="false" outlineLevel="0" collapsed="false">
      <c r="E39" s="129"/>
      <c r="F39" s="129" t="s">
        <v>5</v>
      </c>
      <c r="G39" s="129"/>
      <c r="H39" s="129"/>
    </row>
    <row r="43" customFormat="false" ht="12.8" hidden="false" customHeight="false" outlineLevel="0" collapsed="false">
      <c r="C43" s="1"/>
    </row>
    <row r="44" customFormat="false" ht="12.8" hidden="false" customHeight="false" outlineLevel="0" collapsed="false">
      <c r="C44" s="1" t="n">
        <v>3</v>
      </c>
      <c r="D44" s="1"/>
      <c r="E44" s="1"/>
    </row>
    <row r="45" customFormat="false" ht="24" hidden="false" customHeight="false" outlineLevel="0" collapsed="false">
      <c r="B45" s="1" t="e">
        <f aca="false">#ref!</f>
        <v>#NAME?</v>
      </c>
      <c r="C45" s="1" t="e">
        <f aca="false">#ref!</f>
        <v>#NAME?</v>
      </c>
      <c r="D45" s="1" t="e">
        <f aca="false">#ref!</f>
        <v>#NAME?</v>
      </c>
      <c r="E45" s="160" t="e">
        <f aca="false">#ref!</f>
        <v>#NAME?</v>
      </c>
      <c r="F45" s="160" t="e">
        <f aca="false">#ref!</f>
        <v>#NAME?</v>
      </c>
      <c r="G45" s="1" t="n">
        <v>1</v>
      </c>
      <c r="H45" s="160" t="str">
        <f aca="false">C2</f>
        <v>英文</v>
      </c>
      <c r="I45" s="160" t="str">
        <f aca="false">D2</f>
        <v>ローマ字</v>
      </c>
      <c r="J45" s="160" t="str">
        <f aca="false">E2</f>
        <v>ローマ字
(k→c)</v>
      </c>
      <c r="K45" s="160" t="str">
        <f aca="false">F2</f>
        <v>ローマ字
(最適化)</v>
      </c>
    </row>
    <row r="46" customFormat="false" ht="13" hidden="false" customHeight="false" outlineLevel="0" collapsed="false">
      <c r="B46" s="1" t="str">
        <f aca="false">B3</f>
        <v>qwerty</v>
      </c>
      <c r="C46" s="161" t="n">
        <f aca="false">POWER(C3*POWER(C24,$C$44),1/($C$44 +1))</f>
        <v>7.95546441849213</v>
      </c>
      <c r="D46" s="161" t="n">
        <f aca="false">POWER(D3*POWER(D24,$C$44),1/($C$44 +1))</f>
        <v>7.90647079543121</v>
      </c>
      <c r="E46" s="161" t="n">
        <f aca="false">POWER(E3*POWER(E24,$C$44),1/($C$44 +1))</f>
        <v>7.57444225429512</v>
      </c>
      <c r="F46" s="161" t="n">
        <f aca="false">POWER(F3*POWER(F24,$C$44),1/($C$44 +1))</f>
        <v>0</v>
      </c>
      <c r="G46" s="129" t="str">
        <f aca="false">B3</f>
        <v>qwerty</v>
      </c>
      <c r="H46" s="161" t="n">
        <f aca="false">C46/$C$47*70</f>
        <v>31.925753751453</v>
      </c>
      <c r="I46" s="161" t="n">
        <f aca="false">D46/$C$47*70</f>
        <v>31.7291394165817</v>
      </c>
      <c r="J46" s="161" t="n">
        <f aca="false">E46/$C$47*70</f>
        <v>30.3966890547744</v>
      </c>
      <c r="K46" s="161" t="n">
        <f aca="false">F46/$C$47*70</f>
        <v>0</v>
      </c>
    </row>
    <row r="47" customFormat="false" ht="13" hidden="false" customHeight="false" outlineLevel="0" collapsed="false">
      <c r="B47" s="1" t="str">
        <f aca="false">B4</f>
        <v>Colemak</v>
      </c>
      <c r="C47" s="173" t="n">
        <f aca="false">POWER(C4*POWER(C25,$C$44),1/($C$44 +1))</f>
        <v>17.4430496968017</v>
      </c>
      <c r="D47" s="161" t="n">
        <f aca="false">POWER(D4*POWER(D25,$C$44),1/($C$44 +1))</f>
        <v>18.3903138039891</v>
      </c>
      <c r="E47" s="173" t="n">
        <f aca="false">POWER(E4*POWER(E25,$C$44),1/($C$44 +1))</f>
        <v>19.1198543264703</v>
      </c>
      <c r="F47" s="161" t="n">
        <f aca="false">POWER(F4*POWER(F25,$C$44),1/($C$44 +1))</f>
        <v>0</v>
      </c>
      <c r="G47" s="129" t="str">
        <f aca="false">B4</f>
        <v>Colemak</v>
      </c>
      <c r="H47" s="173" t="n">
        <f aca="false">C47/$C$47*70</f>
        <v>70</v>
      </c>
      <c r="I47" s="161" t="n">
        <f aca="false">D47/$C$47*70</f>
        <v>73.8014274255765</v>
      </c>
      <c r="J47" s="173" t="n">
        <f aca="false">E47/$C$47*70</f>
        <v>76.7291171049248</v>
      </c>
      <c r="K47" s="161" t="n">
        <f aca="false">F47/$C$47*70</f>
        <v>0</v>
      </c>
    </row>
    <row r="48" customFormat="false" ht="13" hidden="false" customHeight="false" outlineLevel="0" collapsed="false">
      <c r="B48" s="1" t="str">
        <f aca="false">B5</f>
        <v>FMIX14</v>
      </c>
      <c r="C48" s="173" t="n">
        <f aca="false">POWER(C5*POWER(C26,$C$44),1/($C$44 +1))</f>
        <v>17.2890573831222</v>
      </c>
      <c r="D48" s="174" t="n">
        <f aca="false">POWER(D5*POWER(D26,$C$44),1/($C$44 +1))</f>
        <v>18.3587958602677</v>
      </c>
      <c r="E48" s="161" t="n">
        <f aca="false">POWER(E5*POWER(E26,$C$44),1/($C$44 +1))</f>
        <v>19.3168570559401</v>
      </c>
      <c r="F48" s="161" t="n">
        <f aca="false">POWER(F5*POWER(F26,$C$44),1/($C$44 +1))</f>
        <v>18.4038178321709</v>
      </c>
      <c r="G48" s="129" t="str">
        <f aca="false">B5</f>
        <v>FMIX14</v>
      </c>
      <c r="H48" s="173" t="n">
        <f aca="false">C48/$C$47*70</f>
        <v>69.3820196499502</v>
      </c>
      <c r="I48" s="161" t="n">
        <f aca="false">D48/$C$47*70</f>
        <v>73.6749440354098</v>
      </c>
      <c r="J48" s="173" t="n">
        <f aca="false">E48/$C$47*70</f>
        <v>77.5197008217971</v>
      </c>
      <c r="K48" s="161" t="n">
        <f aca="false">F48/$C$47*70</f>
        <v>73.8556198970285</v>
      </c>
    </row>
    <row r="49" customFormat="false" ht="13" hidden="false" customHeight="false" outlineLevel="0" collapsed="false">
      <c r="B49" s="1" t="str">
        <f aca="false">B6</f>
        <v>FMIX14R</v>
      </c>
      <c r="C49" s="161" t="n">
        <f aca="false">POWER(C6*POWER(C27,$C$44),1/($C$44 +1))</f>
        <v>15.4707888189464</v>
      </c>
      <c r="D49" s="173" t="n">
        <f aca="false">POWER(D6*POWER(D27,$C$44),1/($C$44 +1))</f>
        <v>19.8964228142047</v>
      </c>
      <c r="E49" s="161" t="n">
        <f aca="false">POWER(E6*POWER(E27,$C$44),1/($C$44 +1))</f>
        <v>18.8521858009364</v>
      </c>
      <c r="F49" s="161" t="n">
        <f aca="false">POWER(F6*POWER(F27,$C$44),1/($C$44 +1))</f>
        <v>20.0540859491973</v>
      </c>
      <c r="G49" s="129" t="str">
        <f aca="false">B6</f>
        <v>FMIX14R</v>
      </c>
      <c r="H49" s="161" t="n">
        <f aca="false">C49/$C$47*70</f>
        <v>62.0851993286937</v>
      </c>
      <c r="I49" s="173" t="n">
        <f aca="false">D49/$C$47*70</f>
        <v>79.8455328169876</v>
      </c>
      <c r="J49" s="161" t="n">
        <f aca="false">E49/$C$47*70</f>
        <v>75.6549473288212</v>
      </c>
      <c r="K49" s="173" t="n">
        <f aca="false">F49/$C$47*70</f>
        <v>80.4782443921607</v>
      </c>
    </row>
    <row r="50" customFormat="false" ht="13" hidden="false" customHeight="false" outlineLevel="0" collapsed="false">
      <c r="B50" s="1" t="str">
        <f aca="false">B7</f>
        <v>MTGAP</v>
      </c>
      <c r="C50" s="173" t="n">
        <f aca="false">POWER(C7*POWER(C28,$C$44),1/($C$44 +1))</f>
        <v>16.8487431885562</v>
      </c>
      <c r="D50" s="161" t="n">
        <f aca="false">POWER(D7*POWER(D28,$C$44),1/($C$44 +1))</f>
        <v>16.1652260614572</v>
      </c>
      <c r="E50" s="173" t="n">
        <f aca="false">POWER(E7*POWER(E28,$C$44),1/($C$44 +1))</f>
        <v>16.2164286156946</v>
      </c>
      <c r="F50" s="161" t="n">
        <f aca="false">POWER(F7*POWER(F28,$C$44),1/($C$44 +1))</f>
        <v>0</v>
      </c>
      <c r="G50" s="129" t="str">
        <f aca="false">B7</f>
        <v>MTGAP</v>
      </c>
      <c r="H50" s="161" t="n">
        <f aca="false">C50/$C$47*70</f>
        <v>67.6150124949301</v>
      </c>
      <c r="I50" s="161" t="n">
        <f aca="false">D50/$C$47*70</f>
        <v>64.8720174494188</v>
      </c>
      <c r="J50" s="161" t="n">
        <f aca="false">E50/$C$47*70</f>
        <v>65.077496357002</v>
      </c>
      <c r="K50" s="161" t="n">
        <f aca="false">F50/$C$47*70</f>
        <v>0</v>
      </c>
    </row>
    <row r="51" customFormat="false" ht="13" hidden="false" customHeight="false" outlineLevel="0" collapsed="false">
      <c r="B51" s="1" t="str">
        <f aca="false">B8</f>
        <v>ワカサギ</v>
      </c>
      <c r="C51" s="161" t="n">
        <f aca="false">POWER(C8*POWER(C29,$C$44),1/($C$44 +1))</f>
        <v>16.7816436925151</v>
      </c>
      <c r="D51" s="173" t="n">
        <f aca="false">POWER(D8*POWER(D29,$C$44),1/($C$44 +1))</f>
        <v>19.887677165416</v>
      </c>
      <c r="E51" s="161" t="n">
        <f aca="false">POWER(E8*POWER(E29,$C$44),1/($C$44 +1))</f>
        <v>18.5216189915073</v>
      </c>
      <c r="F51" s="161" t="n">
        <f aca="false">POWER(F8*POWER(F29,$C$44),1/($C$44 +1))</f>
        <v>0</v>
      </c>
      <c r="G51" s="129" t="str">
        <f aca="false">B8</f>
        <v>ワカサギ</v>
      </c>
      <c r="H51" s="161" t="n">
        <f aca="false">C51/$C$47*70</f>
        <v>67.3457382106437</v>
      </c>
      <c r="I51" s="161" t="n">
        <f aca="false">D51/$C$47*70</f>
        <v>79.8104360061749</v>
      </c>
      <c r="J51" s="161" t="n">
        <f aca="false">E51/$C$47*70</f>
        <v>74.3283629836378</v>
      </c>
      <c r="K51" s="161" t="n">
        <f aca="false">F51/$C$47*70</f>
        <v>0</v>
      </c>
    </row>
    <row r="52" customFormat="false" ht="13" hidden="false" customHeight="false" outlineLevel="0" collapsed="false">
      <c r="B52" s="1" t="str">
        <f aca="false">B9</f>
        <v>大西</v>
      </c>
      <c r="C52" s="161" t="n">
        <f aca="false">POWER(C9*POWER(C30,$C$44),1/($C$44 +1))</f>
        <v>15.2315976634082</v>
      </c>
      <c r="D52" s="173" t="n">
        <f aca="false">POWER(D9*POWER(D30,$C$44),1/($C$44 +1))</f>
        <v>19.9598500484196</v>
      </c>
      <c r="E52" s="161" t="n">
        <f aca="false">POWER(E9*POWER(E30,$C$44),1/($C$44 +1))</f>
        <v>15.8630803524316</v>
      </c>
      <c r="F52" s="161" t="n">
        <f aca="false">POWER(F9*POWER(F30,$C$44),1/($C$44 +1))</f>
        <v>0</v>
      </c>
      <c r="G52" s="129" t="str">
        <f aca="false">B9</f>
        <v>大西</v>
      </c>
      <c r="H52" s="161" t="n">
        <f aca="false">C52/$C$47*70</f>
        <v>61.125310938836</v>
      </c>
      <c r="I52" s="173" t="n">
        <f aca="false">D52/$C$47*70</f>
        <v>80.1000700952857</v>
      </c>
      <c r="J52" s="161" t="n">
        <f aca="false">E52/$C$47*70</f>
        <v>63.6594886772472</v>
      </c>
      <c r="K52" s="161" t="n">
        <f aca="false">F52/$C$47*70</f>
        <v>0</v>
      </c>
    </row>
    <row r="53" customFormat="false" ht="13" hidden="false" customHeight="false" outlineLevel="0" collapsed="false">
      <c r="B53" s="1" t="str">
        <f aca="false">B10</f>
        <v>vbp</v>
      </c>
      <c r="C53" s="161" t="n">
        <f aca="false">POWER(C10*POWER(C31,$C$44),1/($C$44 +1))</f>
        <v>0</v>
      </c>
      <c r="D53" s="161" t="n">
        <f aca="false">POWER(D10*POWER(D31,$C$44),1/($C$44 +1))</f>
        <v>0</v>
      </c>
      <c r="E53" s="161" t="n">
        <f aca="false">POWER(E10*POWER(E31,$C$44),1/($C$44 +1))</f>
        <v>0</v>
      </c>
      <c r="F53" s="161" t="n">
        <f aca="false">POWER(F10*POWER(F31,$C$44),1/($C$44 +1))</f>
        <v>0</v>
      </c>
      <c r="G53" s="129" t="str">
        <f aca="false">B10</f>
        <v>vbp</v>
      </c>
      <c r="H53" s="161" t="n">
        <f aca="false">C53/$C$47*70</f>
        <v>0</v>
      </c>
      <c r="I53" s="161" t="n">
        <f aca="false">D53/$C$47*70</f>
        <v>0</v>
      </c>
      <c r="J53" s="161" t="n">
        <f aca="false">E53/$C$47*70</f>
        <v>0</v>
      </c>
      <c r="K53" s="161" t="n">
        <f aca="false">F53/$C$47*70</f>
        <v>0</v>
      </c>
    </row>
    <row r="54" customFormat="false" ht="13" hidden="false" customHeight="false" outlineLevel="0" collapsed="false">
      <c r="B54" s="1" t="str">
        <f aca="false">B11</f>
        <v>FMIX12</v>
      </c>
      <c r="C54" s="161" t="n">
        <f aca="false">POWER(C11*POWER(C32,$C$44),1/($C$44 +1))</f>
        <v>16.9048128980426</v>
      </c>
      <c r="D54" s="161" t="n">
        <f aca="false">POWER(D11*POWER(D32,$C$44),1/($C$44 +1))</f>
        <v>17.958767438973</v>
      </c>
      <c r="E54" s="161" t="n">
        <f aca="false">POWER(E11*POWER(E32,$C$44),1/($C$44 +1))</f>
        <v>19.085205245974</v>
      </c>
      <c r="F54" s="161" t="n">
        <f aca="false">POWER(F11*POWER(F32,$C$44),1/($C$44 +1))</f>
        <v>0</v>
      </c>
      <c r="G54" s="129" t="str">
        <f aca="false">B11</f>
        <v>FMIX12</v>
      </c>
      <c r="H54" s="173" t="n">
        <f aca="false">C54/$C$47*70</f>
        <v>67.840023587157</v>
      </c>
      <c r="I54" s="161" t="n">
        <f aca="false">D54/$C$47*70</f>
        <v>72.0696060940886</v>
      </c>
      <c r="J54" s="173" t="n">
        <f aca="false">E54/$C$47*70</f>
        <v>76.5900682759127</v>
      </c>
      <c r="K54" s="161" t="n">
        <f aca="false">F54/$C$47*70</f>
        <v>0</v>
      </c>
    </row>
    <row r="55" customFormat="false" ht="13" hidden="false" customHeight="false" outlineLevel="0" collapsed="false">
      <c r="B55" s="1" t="str">
        <f aca="false">B12</f>
        <v>FMIX13</v>
      </c>
      <c r="C55" s="161" t="n">
        <f aca="false">POWER(C12*POWER(C33,$C$44),1/($C$44 +1))</f>
        <v>17.133723891553</v>
      </c>
      <c r="D55" s="161" t="n">
        <f aca="false">POWER(D12*POWER(D33,$C$44),1/($C$44 +1))</f>
        <v>18.3302217723372</v>
      </c>
      <c r="E55" s="161" t="n">
        <f aca="false">POWER(E12*POWER(E33,$C$44),1/($C$44 +1))</f>
        <v>19.1291790411079</v>
      </c>
      <c r="F55" s="161" t="n">
        <f aca="false">POWER(F12*POWER(F33,$C$44),1/($C$44 +1))</f>
        <v>0</v>
      </c>
      <c r="G55" s="129" t="str">
        <f aca="false">B12</f>
        <v>FMIX13</v>
      </c>
      <c r="H55" s="173" t="n">
        <f aca="false">C55/$C$47*70</f>
        <v>68.7586570729442</v>
      </c>
      <c r="I55" s="161" t="n">
        <f aca="false">D55/$C$47*70</f>
        <v>73.5602745143169</v>
      </c>
      <c r="J55" s="161" t="n">
        <f aca="false">E55/$C$47*70</f>
        <v>76.7665377415668</v>
      </c>
      <c r="K55" s="161" t="n">
        <f aca="false">F55/$C$47*70</f>
        <v>0</v>
      </c>
    </row>
    <row r="56" customFormat="false" ht="13" hidden="false" customHeight="false" outlineLevel="0" collapsed="false">
      <c r="B56" s="1" t="str">
        <f aca="false">B13</f>
        <v>FMIX13R2</v>
      </c>
      <c r="C56" s="161" t="n">
        <f aca="false">POWER(C13*POWER(C34,$C$44),1/($C$44 +1))</f>
        <v>0</v>
      </c>
      <c r="D56" s="161" t="n">
        <f aca="false">POWER(D13*POWER(D34,$C$44),1/($C$44 +1))</f>
        <v>0</v>
      </c>
      <c r="E56" s="161" t="n">
        <f aca="false">POWER(E13*POWER(E34,$C$44),1/($C$44 +1))</f>
        <v>0</v>
      </c>
      <c r="F56" s="161" t="n">
        <f aca="false">POWER(F13*POWER(F34,$C$44),1/($C$44 +1))</f>
        <v>0</v>
      </c>
      <c r="G56" s="129" t="str">
        <f aca="false">B13</f>
        <v>FMIX13R2</v>
      </c>
      <c r="H56" s="161" t="n">
        <f aca="false">C56/$C$47*70</f>
        <v>0</v>
      </c>
      <c r="I56" s="161" t="n">
        <f aca="false">D56/$C$47*70</f>
        <v>0</v>
      </c>
      <c r="J56" s="161" t="n">
        <f aca="false">E56/$C$47*70</f>
        <v>0</v>
      </c>
      <c r="K56" s="161" t="n">
        <f aca="false">F56/$C$47*70</f>
        <v>0</v>
      </c>
    </row>
    <row r="57" customFormat="false" ht="13" hidden="false" customHeight="false" outlineLevel="0" collapsed="false">
      <c r="B57" s="1" t="str">
        <f aca="false">B14</f>
        <v>FMIX13R</v>
      </c>
      <c r="C57" s="161" t="n">
        <f aca="false">POWER(C14*POWER(C35,$C$44),1/($C$44 +1))</f>
        <v>15.5094761376652</v>
      </c>
      <c r="D57" s="173" t="n">
        <f aca="false">POWER(D14*POWER(D35,$C$44),1/($C$44 +1))</f>
        <v>19.8838857169631</v>
      </c>
      <c r="E57" s="161" t="n">
        <f aca="false">POWER(E14*POWER(E35,$C$44),1/($C$44 +1))</f>
        <v>18.8232149372955</v>
      </c>
      <c r="F57" s="161" t="n">
        <f aca="false">POWER(F14*POWER(F35,$C$44),1/($C$44 +1))</f>
        <v>20.0314404493419</v>
      </c>
      <c r="G57" s="129" t="str">
        <f aca="false">B14</f>
        <v>FMIX13R</v>
      </c>
      <c r="H57" s="161" t="n">
        <f aca="false">C57/$C$47*70</f>
        <v>62.2404538488259</v>
      </c>
      <c r="I57" s="173" t="n">
        <f aca="false">D57/$C$47*70</f>
        <v>79.7952206971368</v>
      </c>
      <c r="J57" s="161" t="n">
        <f aca="false">E57/$C$47*70</f>
        <v>75.5386855231101</v>
      </c>
      <c r="K57" s="173" t="n">
        <f aca="false">F57/$C$47*70</f>
        <v>80.3873666490232</v>
      </c>
    </row>
    <row r="58" customFormat="false" ht="13" hidden="false" customHeight="false" outlineLevel="0" collapsed="false">
      <c r="B58" s="1" t="str">
        <f aca="false">B15</f>
        <v>FMIX14s</v>
      </c>
      <c r="C58" s="173" t="n">
        <f aca="false">POWER(C15*POWER(C36,$C$44),1/($C$44 +1))</f>
        <v>17.2136615538577</v>
      </c>
      <c r="D58" s="161" t="n">
        <f aca="false">POWER(D15*POWER(D36,$C$44),1/($C$44 +1))</f>
        <v>18.5580541022336</v>
      </c>
      <c r="E58" s="161" t="n">
        <f aca="false">POWER(E15*POWER(E36,$C$44),1/($C$44 +1))</f>
        <v>19.3467406736</v>
      </c>
      <c r="F58" s="161" t="n">
        <f aca="false">POWER(F15*POWER(F36,$C$44),1/($C$44 +1))</f>
        <v>18.6029857324571</v>
      </c>
      <c r="G58" s="129" t="str">
        <f aca="false">B15</f>
        <v>FMIX14s</v>
      </c>
      <c r="H58" s="173" t="n">
        <f aca="false">C58/$C$47*70</f>
        <v>69.0794516850441</v>
      </c>
      <c r="I58" s="161" t="n">
        <f aca="false">D58/$C$47*70</f>
        <v>74.4745792586109</v>
      </c>
      <c r="J58" s="161" t="n">
        <f aca="false">E58/$C$47*70</f>
        <v>77.6396255638893</v>
      </c>
      <c r="K58" s="161" t="n">
        <f aca="false">F58/$C$47*70</f>
        <v>74.6548925736743</v>
      </c>
    </row>
    <row r="59" customFormat="false" ht="12.8" hidden="false" customHeight="true" outlineLevel="0" collapsed="false">
      <c r="B59" s="1" t="str">
        <f aca="false">B16</f>
        <v>FMIX15</v>
      </c>
      <c r="C59" s="173" t="n">
        <f aca="false">POWER(C16*POWER(C37,$C$44),1/($C$44 +1))</f>
        <v>17.4860842660637</v>
      </c>
      <c r="D59" s="161" t="n">
        <f aca="false">POWER(D16*POWER(D37,$C$44),1/($C$44 +1))</f>
        <v>18.0508451938222</v>
      </c>
      <c r="E59" s="161" t="n">
        <f aca="false">POWER(E16*POWER(E37,$C$44),1/($C$44 +1))</f>
        <v>19.1202027548584</v>
      </c>
      <c r="F59" s="161" t="n">
        <f aca="false">POWER(F16*POWER(F37,$C$44),1/($C$44 +1))</f>
        <v>0</v>
      </c>
      <c r="G59" s="129" t="str">
        <f aca="false">B16</f>
        <v>FMIX15</v>
      </c>
      <c r="H59" s="173" t="n">
        <f aca="false">C59/$C$47*70</f>
        <v>70.1727002961466</v>
      </c>
      <c r="I59" s="161" t="n">
        <f aca="false">D59/$C$47*70</f>
        <v>72.4391196224841</v>
      </c>
      <c r="J59" s="173" t="n">
        <f aca="false">E59/$C$47*70</f>
        <v>76.7305153688518</v>
      </c>
      <c r="K59" s="161" t="n">
        <f aca="false">F59/$C$47*70</f>
        <v>0</v>
      </c>
    </row>
    <row r="60" customFormat="false" ht="12.8" hidden="false" customHeight="true" outlineLevel="0" collapsed="false">
      <c r="B60" s="1" t="n">
        <f aca="false">B17</f>
        <v>0</v>
      </c>
      <c r="C60" s="173" t="n">
        <f aca="false">POWER(C17*POWER(C38,$C$44),1/($C$44 +1))</f>
        <v>0</v>
      </c>
      <c r="D60" s="161" t="n">
        <f aca="false">POWER(D17*POWER(D38,$C$44),1/($C$44 +1))</f>
        <v>0</v>
      </c>
      <c r="E60" s="161" t="n">
        <f aca="false">POWER(E17*POWER(E38,$C$44),1/($C$44 +1))</f>
        <v>0</v>
      </c>
      <c r="F60" s="161" t="n">
        <f aca="false">POWER(F17*POWER(F38,$C$44),1/($C$44 +1))</f>
        <v>0</v>
      </c>
      <c r="G60" s="129" t="n">
        <f aca="false">B17</f>
        <v>0</v>
      </c>
      <c r="H60" s="173" t="n">
        <f aca="false">C60/$C$47*70</f>
        <v>0</v>
      </c>
      <c r="I60" s="161" t="n">
        <f aca="false">D60/$C$47*70</f>
        <v>0</v>
      </c>
      <c r="J60" s="161" t="n">
        <f aca="false">E60/$C$47*70</f>
        <v>0</v>
      </c>
      <c r="K60" s="161" t="n">
        <f aca="false">F60/$C$47*70</f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S19:CI24 A1"/>
    </sheetView>
  </sheetViews>
  <sheetFormatPr defaultColWidth="11.53515625" defaultRowHeight="12.8" customHeight="true" zeroHeight="false" outlineLevelRow="0" outlineLevelCol="0"/>
  <sheetData>
    <row r="1" customFormat="false" ht="13" hidden="false" customHeight="false" outlineLevel="0" collapsed="false">
      <c r="A1" s="177" t="s">
        <v>959</v>
      </c>
      <c r="B1" s="120" t="s">
        <v>926</v>
      </c>
      <c r="C1" s="177" t="s">
        <v>960</v>
      </c>
      <c r="D1" s="177" t="s">
        <v>961</v>
      </c>
    </row>
    <row r="2" customFormat="false" ht="13" hidden="false" customHeight="false" outlineLevel="0" collapsed="false">
      <c r="A2" s="178" t="s">
        <v>962</v>
      </c>
      <c r="B2" s="178" t="n">
        <v>58.76</v>
      </c>
      <c r="C2" s="178" t="n">
        <v>68.43</v>
      </c>
      <c r="D2" s="178" t="n">
        <v>68.31</v>
      </c>
      <c r="E2" s="179" t="n">
        <f aca="false">POWER(B2*B2*C2*D2,0.25)</f>
        <v>63.3831180442033</v>
      </c>
      <c r="F2" s="179" t="n">
        <f aca="false">E2/G2</f>
        <v>4.52736557458595</v>
      </c>
      <c r="G2" s="1" t="n">
        <v>14</v>
      </c>
      <c r="H2" s="179" t="n">
        <f aca="false">70*E2/E$13</f>
        <v>68.2529050513181</v>
      </c>
      <c r="I2" s="179" t="n">
        <f aca="false">70*B2/B$13</f>
        <v>64.6221523959152</v>
      </c>
      <c r="J2" s="179" t="n">
        <f aca="false">70*C2/C$13</f>
        <v>72.1944235116805</v>
      </c>
      <c r="K2" s="179" t="n">
        <f aca="false">70*D2/D$13</f>
        <v>71.9810326659642</v>
      </c>
      <c r="L2" s="179" t="n">
        <f aca="false">(I2*2+J2+K2)/4</f>
        <v>68.3549402423687</v>
      </c>
    </row>
    <row r="3" customFormat="false" ht="13" hidden="false" customHeight="false" outlineLevel="0" collapsed="false">
      <c r="A3" s="178" t="s">
        <v>963</v>
      </c>
      <c r="B3" s="178" t="n">
        <v>59.76</v>
      </c>
      <c r="C3" s="178" t="n">
        <v>69.26</v>
      </c>
      <c r="D3" s="178" t="n">
        <v>69.71</v>
      </c>
      <c r="E3" s="179" t="n">
        <f aca="false">POWER(B3*B3*C3*D3,0.25)</f>
        <v>64.4391327543792</v>
      </c>
      <c r="F3" s="179" t="n">
        <f aca="false">E3/G3</f>
        <v>4.61929267056481</v>
      </c>
      <c r="G3" s="1" t="n">
        <v>13.95</v>
      </c>
      <c r="H3" s="179" t="n">
        <f aca="false">70*E3/E$13</f>
        <v>69.3900544054437</v>
      </c>
      <c r="I3" s="179" t="n">
        <f aca="false">70*B3/B$13</f>
        <v>65.7219167321288</v>
      </c>
      <c r="J3" s="179" t="n">
        <f aca="false">70*C3/C$13</f>
        <v>73.0700828937453</v>
      </c>
      <c r="K3" s="179" t="n">
        <f aca="false">70*D3/D$13</f>
        <v>73.4562697576396</v>
      </c>
      <c r="L3" s="179" t="n">
        <f aca="false">(I3*2+J3+K3)/4</f>
        <v>69.4925465289107</v>
      </c>
    </row>
    <row r="4" customFormat="false" ht="13" hidden="false" customHeight="false" outlineLevel="0" collapsed="false">
      <c r="A4" s="178" t="s">
        <v>964</v>
      </c>
      <c r="B4" s="178" t="n">
        <v>59.02</v>
      </c>
      <c r="C4" s="178" t="n">
        <v>66.8</v>
      </c>
      <c r="D4" s="178" t="n">
        <v>66.33</v>
      </c>
      <c r="E4" s="179" t="n">
        <f aca="false">POWER(B4*B4*C4*D4,0.25)</f>
        <v>62.678878557624</v>
      </c>
      <c r="F4" s="179" t="n">
        <f aca="false">E4/G4</f>
        <v>4.82145219674031</v>
      </c>
      <c r="G4" s="1" t="n">
        <v>13</v>
      </c>
      <c r="H4" s="179" t="n">
        <f aca="false">70*E4/E$13</f>
        <v>67.4945581555822</v>
      </c>
      <c r="I4" s="179" t="n">
        <f aca="false">70*B4/B$13</f>
        <v>64.9080911233307</v>
      </c>
      <c r="J4" s="179" t="n">
        <f aca="false">70*C4/C$13</f>
        <v>70.4747550866617</v>
      </c>
      <c r="K4" s="179" t="n">
        <f aca="false">70*D4/D$13</f>
        <v>69.8946259220232</v>
      </c>
      <c r="L4" s="179" t="n">
        <f aca="false">(I4*2+J4+K4)/4</f>
        <v>67.5463908138366</v>
      </c>
    </row>
    <row r="5" customFormat="false" ht="13" hidden="false" customHeight="false" outlineLevel="0" collapsed="false">
      <c r="A5" s="178" t="s">
        <v>965</v>
      </c>
      <c r="B5" s="178" t="n">
        <v>59.36</v>
      </c>
      <c r="C5" s="178" t="n">
        <v>67.37</v>
      </c>
      <c r="D5" s="178" t="n">
        <v>67.22</v>
      </c>
      <c r="E5" s="179" t="n">
        <f aca="false">POWER(B5*B5*C5*D5,0.25)</f>
        <v>63.2030752347654</v>
      </c>
      <c r="F5" s="179" t="n">
        <f aca="false">E5/G5</f>
        <v>4.88054635017493</v>
      </c>
      <c r="G5" s="1" t="n">
        <v>12.95</v>
      </c>
      <c r="H5" s="179" t="n">
        <f aca="false">70*E5/E$13</f>
        <v>68.0590293765814</v>
      </c>
      <c r="I5" s="179" t="n">
        <f aca="false">70*B5/B$13</f>
        <v>65.2820109976434</v>
      </c>
      <c r="J5" s="179" t="n">
        <f aca="false">70*C5/C$13</f>
        <v>71.0761115297664</v>
      </c>
      <c r="K5" s="179" t="n">
        <f aca="false">70*D5/D$13</f>
        <v>70.8324552160169</v>
      </c>
      <c r="L5" s="179" t="n">
        <f aca="false">(I5*2+J5+K5)/4</f>
        <v>68.1181471852675</v>
      </c>
    </row>
    <row r="6" customFormat="false" ht="13" hidden="false" customHeight="false" outlineLevel="0" collapsed="false">
      <c r="A6" s="180" t="s">
        <v>966</v>
      </c>
      <c r="B6" s="180" t="n">
        <v>64.4</v>
      </c>
      <c r="C6" s="180" t="n">
        <v>71.75</v>
      </c>
      <c r="D6" s="180" t="n">
        <v>72.38</v>
      </c>
      <c r="E6" s="179" t="n">
        <f aca="false">POWER(B6*B6*C6*D6,0.25)</f>
        <v>68.1244571661927</v>
      </c>
      <c r="F6" s="181" t="n">
        <f aca="false">E6/G6</f>
        <v>4.86603265472805</v>
      </c>
      <c r="G6" s="1" t="n">
        <v>14</v>
      </c>
      <c r="H6" s="181" t="n">
        <f aca="false">70*E6/E$13</f>
        <v>73.3585258994998</v>
      </c>
      <c r="I6" s="179" t="n">
        <f aca="false">70*B6/B$13</f>
        <v>70.8248232521603</v>
      </c>
      <c r="J6" s="179" t="n">
        <f aca="false">70*C6/C$13</f>
        <v>75.6970610399397</v>
      </c>
      <c r="K6" s="179" t="n">
        <f aca="false">70*D6/D$13</f>
        <v>76.2697576396206</v>
      </c>
      <c r="L6" s="179" t="n">
        <f aca="false">(I6*2+J6+K6)/4</f>
        <v>73.4041162959702</v>
      </c>
    </row>
    <row r="7" customFormat="false" ht="13" hidden="false" customHeight="false" outlineLevel="0" collapsed="false">
      <c r="A7" s="180" t="s">
        <v>967</v>
      </c>
      <c r="B7" s="180" t="n">
        <v>62.58</v>
      </c>
      <c r="C7" s="180" t="n">
        <v>70.97</v>
      </c>
      <c r="D7" s="180" t="n">
        <v>71.49</v>
      </c>
      <c r="E7" s="179" t="n">
        <f aca="false">POWER(B7*B7*C7*D7,0.25)</f>
        <v>66.7648388337143</v>
      </c>
      <c r="F7" s="179" t="n">
        <f aca="false">E7/G7</f>
        <v>4.78600995223759</v>
      </c>
      <c r="G7" s="1" t="n">
        <v>13.95</v>
      </c>
      <c r="H7" s="179" t="n">
        <f aca="false">70*E7/E$13</f>
        <v>71.8944467595629</v>
      </c>
      <c r="I7" s="179" t="n">
        <f aca="false">70*B7/B$13</f>
        <v>68.8232521602514</v>
      </c>
      <c r="J7" s="179" t="n">
        <f aca="false">70*C7/C$13</f>
        <v>74.8741522230595</v>
      </c>
      <c r="K7" s="179" t="n">
        <f aca="false">70*D7/D$13</f>
        <v>75.331928345627</v>
      </c>
      <c r="L7" s="179" t="n">
        <f aca="false">(I7*2+J7+K7)/4</f>
        <v>71.9631462222973</v>
      </c>
    </row>
    <row r="8" customFormat="false" ht="13" hidden="false" customHeight="false" outlineLevel="0" collapsed="false">
      <c r="A8" s="180" t="s">
        <v>968</v>
      </c>
      <c r="B8" s="180" t="n">
        <v>63.76</v>
      </c>
      <c r="C8" s="180" t="n">
        <v>69.81</v>
      </c>
      <c r="D8" s="180" t="n">
        <v>70.07</v>
      </c>
      <c r="E8" s="179" t="n">
        <f aca="false">POWER(B8*B8*C8*D8,0.25)</f>
        <v>66.7784897751336</v>
      </c>
      <c r="F8" s="181" t="n">
        <f aca="false">E8/G8</f>
        <v>5.13680690577951</v>
      </c>
      <c r="G8" s="1" t="n">
        <v>13</v>
      </c>
      <c r="H8" s="181" t="n">
        <f aca="false">70*E8/E$13</f>
        <v>71.9091465161747</v>
      </c>
      <c r="I8" s="179" t="n">
        <f aca="false">70*B8/B$13</f>
        <v>70.1209740769835</v>
      </c>
      <c r="J8" s="179" t="n">
        <f aca="false">70*C8/C$13</f>
        <v>73.6503391107762</v>
      </c>
      <c r="K8" s="179" t="n">
        <f aca="false">70*D8/D$13</f>
        <v>73.8356164383562</v>
      </c>
      <c r="L8" s="179" t="n">
        <f aca="false">(I8*2+J8+K8)/4</f>
        <v>71.9319759257748</v>
      </c>
    </row>
    <row r="9" customFormat="false" ht="13" hidden="false" customHeight="false" outlineLevel="0" collapsed="false">
      <c r="A9" s="180" t="s">
        <v>969</v>
      </c>
      <c r="B9" s="180" t="n">
        <v>62.65</v>
      </c>
      <c r="C9" s="180" t="n">
        <v>69.83</v>
      </c>
      <c r="D9" s="180" t="n">
        <v>70.07</v>
      </c>
      <c r="E9" s="179" t="n">
        <f aca="false">POWER(B9*B9*C9*D9,0.25)</f>
        <v>66.1994037087126</v>
      </c>
      <c r="F9" s="179" t="n">
        <f aca="false">E9/G9</f>
        <v>5.11192306630985</v>
      </c>
      <c r="G9" s="1" t="n">
        <v>12.95</v>
      </c>
      <c r="H9" s="179" t="n">
        <f aca="false">70*E9/E$13</f>
        <v>71.2855687003845</v>
      </c>
      <c r="I9" s="179" t="n">
        <f aca="false">70*B9/B$13</f>
        <v>68.9002356637863</v>
      </c>
      <c r="J9" s="179" t="n">
        <f aca="false">70*C9/C$13</f>
        <v>73.67143933685</v>
      </c>
      <c r="K9" s="179" t="n">
        <f aca="false">70*D9/D$13</f>
        <v>73.8356164383562</v>
      </c>
      <c r="L9" s="179" t="n">
        <f aca="false">(I9*2+J9+K9)/4</f>
        <v>71.3268817756947</v>
      </c>
    </row>
    <row r="10" customFormat="false" ht="13" hidden="false" customHeight="false" outlineLevel="0" collapsed="false">
      <c r="A10" s="180" t="s">
        <v>970</v>
      </c>
      <c r="B10" s="180" t="n">
        <v>62.76</v>
      </c>
      <c r="C10" s="180" t="n">
        <v>69.01</v>
      </c>
      <c r="D10" s="180" t="n">
        <v>68.8</v>
      </c>
      <c r="E10" s="179" t="n">
        <f aca="false">POWER(B10*B10*C10*D10,0.25)</f>
        <v>65.7607236814347</v>
      </c>
      <c r="F10" s="179" t="n">
        <f aca="false">E10/G10</f>
        <v>5.48006030678622</v>
      </c>
      <c r="G10" s="1" t="n">
        <v>12</v>
      </c>
      <c r="H10" s="179" t="n">
        <f aca="false">70*E10/E$13</f>
        <v>70.8131844571728</v>
      </c>
      <c r="I10" s="179" t="n">
        <f aca="false">70*B10/B$13</f>
        <v>69.0212097407698</v>
      </c>
      <c r="J10" s="179" t="n">
        <f aca="false">70*C10/C$13</f>
        <v>72.8063300678222</v>
      </c>
      <c r="K10" s="179" t="n">
        <f aca="false">70*D10/D$13</f>
        <v>72.4973656480506</v>
      </c>
      <c r="L10" s="179" t="n">
        <f aca="false">(I10*2+J10+K10)/4</f>
        <v>70.8365287993531</v>
      </c>
    </row>
    <row r="11" customFormat="false" ht="13" hidden="false" customHeight="false" outlineLevel="0" collapsed="false">
      <c r="A11" s="180" t="s">
        <v>971</v>
      </c>
      <c r="B11" s="180" t="n">
        <v>62.25</v>
      </c>
      <c r="C11" s="180" t="n">
        <v>69.11</v>
      </c>
      <c r="D11" s="180" t="n">
        <v>68.99</v>
      </c>
      <c r="E11" s="179" t="n">
        <f aca="false">POWER(B11*B11*C11*D11,0.25)</f>
        <v>65.5618858580391</v>
      </c>
      <c r="F11" s="181" t="n">
        <f aca="false">E11/G11</f>
        <v>5.48635028100746</v>
      </c>
      <c r="G11" s="1" t="n">
        <v>11.95</v>
      </c>
      <c r="H11" s="181" t="n">
        <f aca="false">70*E11/E$13</f>
        <v>70.599069729157</v>
      </c>
      <c r="I11" s="179" t="n">
        <f aca="false">70*B11/B$13</f>
        <v>68.4603299293009</v>
      </c>
      <c r="J11" s="179" t="n">
        <f aca="false">70*C11/C$13</f>
        <v>72.9118311981914</v>
      </c>
      <c r="K11" s="179" t="n">
        <f aca="false">70*D11/D$13</f>
        <v>72.6975763962065</v>
      </c>
      <c r="L11" s="179" t="n">
        <f aca="false">(I11*2+J11+K11)/4</f>
        <v>70.6325168632499</v>
      </c>
    </row>
    <row r="12" customFormat="false" ht="13" hidden="false" customHeight="false" outlineLevel="0" collapsed="false">
      <c r="A12" s="129" t="s">
        <v>972</v>
      </c>
      <c r="B12" s="178" t="n">
        <v>55.55</v>
      </c>
      <c r="C12" s="178"/>
      <c r="D12" s="178"/>
      <c r="E12" s="179" t="n">
        <v>1</v>
      </c>
      <c r="F12" s="179" t="n">
        <f aca="false">E12/G12</f>
        <v>1</v>
      </c>
      <c r="G12" s="1" t="n">
        <v>1</v>
      </c>
      <c r="H12" s="179"/>
      <c r="I12" s="179"/>
      <c r="J12" s="179"/>
      <c r="K12" s="179"/>
      <c r="L12" s="179"/>
    </row>
    <row r="13" customFormat="false" ht="13" hidden="false" customHeight="false" outlineLevel="0" collapsed="false">
      <c r="A13" s="178" t="s">
        <v>932</v>
      </c>
      <c r="B13" s="178" t="n">
        <v>63.65</v>
      </c>
      <c r="C13" s="178" t="n">
        <v>66.35</v>
      </c>
      <c r="D13" s="178" t="n">
        <v>66.43</v>
      </c>
      <c r="E13" s="179" t="n">
        <f aca="false">POWER(B13*B13*C13*D13,0.25)</f>
        <v>65.0055592470133</v>
      </c>
      <c r="F13" s="179" t="n">
        <f aca="false">E13/G13</f>
        <v>3.8238564262949</v>
      </c>
      <c r="G13" s="1" t="n">
        <v>17</v>
      </c>
      <c r="H13" s="179" t="n">
        <f aca="false">70*E13/E$13</f>
        <v>70</v>
      </c>
      <c r="I13" s="179" t="n">
        <f aca="false">70*B13/B$13</f>
        <v>70</v>
      </c>
      <c r="J13" s="179" t="n">
        <f aca="false">70*C13/C$13</f>
        <v>70</v>
      </c>
      <c r="K13" s="179" t="n">
        <f aca="false">70*D13/D$13</f>
        <v>70</v>
      </c>
      <c r="L13" s="179" t="n">
        <f aca="false">(I13*2+J13+K13)/4</f>
        <v>70</v>
      </c>
    </row>
    <row r="16" customFormat="false" ht="24" hidden="false" customHeight="false" outlineLevel="0" collapsed="false">
      <c r="A16" s="177" t="s">
        <v>959</v>
      </c>
      <c r="B16" s="120" t="s">
        <v>927</v>
      </c>
      <c r="C16" s="120" t="s">
        <v>928</v>
      </c>
    </row>
    <row r="17" customFormat="false" ht="13" hidden="false" customHeight="false" outlineLevel="0" collapsed="false">
      <c r="A17" s="178" t="s">
        <v>962</v>
      </c>
      <c r="B17" s="180" t="n">
        <v>73.54</v>
      </c>
      <c r="C17" s="178" t="s">
        <v>462</v>
      </c>
      <c r="D17" s="1" t="n">
        <f aca="false">MAX(B17:C17)</f>
        <v>73.54</v>
      </c>
      <c r="E17" s="179" t="n">
        <f aca="false">SQRT(D17*E2)</f>
        <v>68.2729412063865</v>
      </c>
    </row>
    <row r="18" customFormat="false" ht="12.8" hidden="false" customHeight="false" outlineLevel="0" collapsed="false">
      <c r="A18" s="178"/>
      <c r="B18" s="180"/>
      <c r="C18" s="178"/>
      <c r="E18" s="179"/>
    </row>
    <row r="19" customFormat="false" ht="13" hidden="false" customHeight="false" outlineLevel="0" collapsed="false">
      <c r="A19" s="178" t="s">
        <v>964</v>
      </c>
      <c r="B19" s="180" t="n">
        <v>73.66</v>
      </c>
      <c r="C19" s="178" t="s">
        <v>462</v>
      </c>
      <c r="D19" s="1" t="n">
        <f aca="false">MAX(B19:C19)</f>
        <v>73.66</v>
      </c>
      <c r="E19" s="179" t="n">
        <f aca="false">SQRT(D19*E4)</f>
        <v>67.9479668169297</v>
      </c>
    </row>
    <row r="20" customFormat="false" ht="13" hidden="false" customHeight="false" outlineLevel="0" collapsed="false">
      <c r="A20" s="178" t="s">
        <v>965</v>
      </c>
      <c r="B20" s="180" t="n">
        <v>73.67</v>
      </c>
      <c r="C20" s="178" t="s">
        <v>462</v>
      </c>
      <c r="D20" s="1" t="n">
        <f aca="false">MAX(B20:C20)</f>
        <v>73.67</v>
      </c>
      <c r="E20" s="179" t="n">
        <f aca="false">SQRT(D20*E5)</f>
        <v>68.236138171391</v>
      </c>
    </row>
    <row r="21" customFormat="false" ht="13" hidden="false" customHeight="false" outlineLevel="0" collapsed="false">
      <c r="A21" s="178" t="s">
        <v>966</v>
      </c>
      <c r="B21" s="178" t="n">
        <v>71.27</v>
      </c>
      <c r="C21" s="180" t="n">
        <v>71.98</v>
      </c>
      <c r="D21" s="1" t="n">
        <f aca="false">MAX(B21:C21)</f>
        <v>71.98</v>
      </c>
      <c r="E21" s="179" t="n">
        <f aca="false">SQRT(D21*E6)</f>
        <v>70.0256983315593</v>
      </c>
    </row>
    <row r="22" customFormat="false" ht="12.8" hidden="false" customHeight="false" outlineLevel="0" collapsed="false">
      <c r="A22" s="178"/>
      <c r="B22" s="178"/>
      <c r="C22" s="180"/>
      <c r="E22" s="179"/>
    </row>
    <row r="23" customFormat="false" ht="13" hidden="false" customHeight="false" outlineLevel="0" collapsed="false">
      <c r="A23" s="178" t="s">
        <v>968</v>
      </c>
      <c r="B23" s="178" t="n">
        <v>71.27</v>
      </c>
      <c r="C23" s="180" t="n">
        <v>71.18</v>
      </c>
      <c r="D23" s="1" t="n">
        <f aca="false">MAX(B23:C23)</f>
        <v>71.27</v>
      </c>
      <c r="E23" s="179" t="n">
        <f aca="false">SQRT(D23*E8)</f>
        <v>68.9877015581312</v>
      </c>
    </row>
    <row r="24" customFormat="false" ht="12.8" hidden="false" customHeight="false" outlineLevel="0" collapsed="false">
      <c r="A24" s="178"/>
      <c r="B24" s="178"/>
      <c r="C24" s="180"/>
      <c r="E24" s="179"/>
    </row>
    <row r="25" customFormat="false" ht="13" hidden="false" customHeight="false" outlineLevel="0" collapsed="false">
      <c r="A25" s="178" t="s">
        <v>970</v>
      </c>
      <c r="B25" s="178" t="n">
        <v>69.95</v>
      </c>
      <c r="C25" s="180" t="n">
        <v>71.39</v>
      </c>
      <c r="D25" s="1" t="n">
        <f aca="false">MAX(B25:C25)</f>
        <v>71.39</v>
      </c>
      <c r="E25" s="179" t="n">
        <f aca="false">SQRT(D25*E10)</f>
        <v>68.5175748521328</v>
      </c>
    </row>
    <row r="26" customFormat="false" ht="13" hidden="false" customHeight="false" outlineLevel="0" collapsed="false">
      <c r="A26" s="178" t="s">
        <v>971</v>
      </c>
      <c r="B26" s="178" t="n">
        <v>69.97</v>
      </c>
      <c r="C26" s="180" t="n">
        <v>71.41</v>
      </c>
      <c r="D26" s="1" t="n">
        <f aca="false">MAX(B26:C26)</f>
        <v>71.41</v>
      </c>
      <c r="E26" s="179" t="n">
        <f aca="false">SQRT(D26*E11)</f>
        <v>68.4234920851207</v>
      </c>
    </row>
    <row r="27" customFormat="false" ht="13" hidden="false" customHeight="false" outlineLevel="0" collapsed="false">
      <c r="A27" s="129" t="s">
        <v>972</v>
      </c>
      <c r="B27" s="178" t="n">
        <v>74.62</v>
      </c>
      <c r="C27" s="178" t="n">
        <v>0</v>
      </c>
      <c r="D27" s="1" t="n">
        <f aca="false">MAX(B27:C27)</f>
        <v>74.62</v>
      </c>
      <c r="E27" s="179" t="n">
        <f aca="false">SQRT(D27*E12)</f>
        <v>8.63828686719769</v>
      </c>
    </row>
    <row r="28" customFormat="false" ht="13" hidden="false" customHeight="false" outlineLevel="0" collapsed="false">
      <c r="A28" s="178" t="s">
        <v>932</v>
      </c>
      <c r="B28" s="178" t="n">
        <v>67.46</v>
      </c>
      <c r="C28" s="178" t="n">
        <v>70.34</v>
      </c>
      <c r="D28" s="1" t="n">
        <f aca="false">MAX(B28:C28)</f>
        <v>70.34</v>
      </c>
      <c r="E28" s="179" t="n">
        <f aca="false">SQRT(D28*E13)</f>
        <v>67.6201969638873</v>
      </c>
    </row>
    <row r="31" customFormat="false" ht="13" hidden="false" customHeight="false" outlineLevel="0" collapsed="false">
      <c r="A31" s="120" t="s">
        <v>973</v>
      </c>
      <c r="B31" s="120" t="s">
        <v>927</v>
      </c>
      <c r="C31" s="120"/>
      <c r="D31" s="120"/>
    </row>
    <row r="32" customFormat="false" ht="12.8" hidden="false" customHeight="false" outlineLevel="0" collapsed="false">
      <c r="A32" s="178"/>
      <c r="B32" s="178"/>
      <c r="C32" s="25"/>
      <c r="D32" s="25"/>
    </row>
    <row r="33" customFormat="false" ht="13" hidden="false" customHeight="false" outlineLevel="0" collapsed="false">
      <c r="A33" s="178" t="s">
        <v>966</v>
      </c>
      <c r="B33" s="178" t="s">
        <v>962</v>
      </c>
      <c r="C33" s="178" t="n">
        <v>68.12</v>
      </c>
      <c r="D33" s="25" t="n">
        <v>73.54</v>
      </c>
      <c r="E33" s="179" t="n">
        <f aca="false">SQRT(D33*C33)</f>
        <v>70.7781378675647</v>
      </c>
      <c r="F33" s="1" t="n">
        <v>14</v>
      </c>
      <c r="G33" s="1" t="n">
        <v>14</v>
      </c>
      <c r="H33" s="179" t="n">
        <f aca="false">E33/F33</f>
        <v>5.05558127625462</v>
      </c>
      <c r="I33" s="179" t="n">
        <f aca="false">D33/G33</f>
        <v>5.25285714285714</v>
      </c>
      <c r="J33" s="179" t="n">
        <f aca="false">SQRT(I33*H33)</f>
        <v>5.1532752903633</v>
      </c>
      <c r="L33" s="181" t="n">
        <f aca="false">E33/E$46*70</f>
        <v>73.2665779371712</v>
      </c>
    </row>
    <row r="34" customFormat="false" ht="13" hidden="false" customHeight="false" outlineLevel="0" collapsed="false">
      <c r="A34" s="178" t="s">
        <v>967</v>
      </c>
      <c r="B34" s="178" t="s">
        <v>963</v>
      </c>
      <c r="C34" s="25" t="n">
        <v>66.76</v>
      </c>
      <c r="D34" s="25"/>
      <c r="E34" s="179" t="n">
        <f aca="false">SQRT(D34*C34)</f>
        <v>0</v>
      </c>
      <c r="F34" s="1" t="n">
        <v>14</v>
      </c>
      <c r="G34" s="1" t="n">
        <v>14</v>
      </c>
      <c r="H34" s="179"/>
      <c r="I34" s="179"/>
      <c r="J34" s="179"/>
      <c r="L34" s="179" t="n">
        <f aca="false">E34/E$46*70</f>
        <v>0</v>
      </c>
    </row>
    <row r="35" customFormat="false" ht="12.8" hidden="false" customHeight="false" outlineLevel="0" collapsed="false">
      <c r="A35" s="178"/>
      <c r="B35" s="178"/>
      <c r="C35" s="25"/>
      <c r="D35" s="25"/>
      <c r="E35" s="179" t="n">
        <f aca="false">SQRT(D35*C35)</f>
        <v>0</v>
      </c>
      <c r="H35" s="179"/>
      <c r="I35" s="179"/>
      <c r="J35" s="179"/>
      <c r="L35" s="179"/>
    </row>
    <row r="36" customFormat="false" ht="13" hidden="false" customHeight="false" outlineLevel="0" collapsed="false">
      <c r="A36" s="178" t="s">
        <v>970</v>
      </c>
      <c r="B36" s="178" t="s">
        <v>964</v>
      </c>
      <c r="C36" s="25" t="n">
        <v>65.73</v>
      </c>
      <c r="D36" s="25" t="n">
        <v>73.66</v>
      </c>
      <c r="E36" s="179" t="n">
        <f aca="false">SQRT(D36*C36)</f>
        <v>69.5821227040394</v>
      </c>
      <c r="F36" s="1" t="n">
        <v>12</v>
      </c>
      <c r="G36" s="1" t="n">
        <v>13</v>
      </c>
      <c r="H36" s="179" t="n">
        <f aca="false">E36/F36</f>
        <v>5.79851022533662</v>
      </c>
      <c r="I36" s="179" t="n">
        <f aca="false">D36/G36</f>
        <v>5.66615384615385</v>
      </c>
      <c r="J36" s="179" t="n">
        <f aca="false">SQRT(I36*H36)</f>
        <v>5.73195001855856</v>
      </c>
      <c r="L36" s="179" t="n">
        <f aca="false">E36/E$46*70</f>
        <v>72.0285128957254</v>
      </c>
    </row>
    <row r="37" customFormat="false" ht="13" hidden="false" customHeight="false" outlineLevel="0" collapsed="false">
      <c r="A37" s="178" t="s">
        <v>971</v>
      </c>
      <c r="B37" s="178" t="s">
        <v>965</v>
      </c>
      <c r="C37" s="178" t="n">
        <v>65.56</v>
      </c>
      <c r="D37" s="25" t="n">
        <v>73.67</v>
      </c>
      <c r="E37" s="179" t="n">
        <f aca="false">SQRT(D37*C37)</f>
        <v>69.4967999263276</v>
      </c>
      <c r="F37" s="1" t="n">
        <v>12</v>
      </c>
      <c r="G37" s="1" t="n">
        <v>13</v>
      </c>
      <c r="H37" s="179" t="n">
        <f aca="false">E37/F37</f>
        <v>5.79139999386063</v>
      </c>
      <c r="I37" s="179" t="n">
        <f aca="false">D37/G37</f>
        <v>5.66692307692308</v>
      </c>
      <c r="J37" s="179" t="n">
        <f aca="false">SQRT(I37*H37)</f>
        <v>5.72882346323405</v>
      </c>
      <c r="L37" s="179" t="n">
        <f aca="false">E37/E$46*70</f>
        <v>71.940190312914</v>
      </c>
    </row>
    <row r="38" customFormat="false" ht="12.8" hidden="false" customHeight="false" outlineLevel="0" collapsed="false">
      <c r="A38" s="178"/>
      <c r="B38" s="178"/>
      <c r="C38" s="25"/>
      <c r="D38" s="25"/>
      <c r="E38" s="179" t="n">
        <f aca="false">SQRT(D38*C38)</f>
        <v>0</v>
      </c>
      <c r="H38" s="179"/>
      <c r="I38" s="179"/>
      <c r="J38" s="179"/>
      <c r="L38" s="179" t="n">
        <f aca="false">E38/E$46*70</f>
        <v>0</v>
      </c>
    </row>
    <row r="39" customFormat="false" ht="13" hidden="false" customHeight="false" outlineLevel="0" collapsed="false">
      <c r="A39" s="178" t="s">
        <v>968</v>
      </c>
      <c r="B39" s="178" t="s">
        <v>964</v>
      </c>
      <c r="C39" s="25" t="n">
        <v>66.78</v>
      </c>
      <c r="D39" s="25" t="n">
        <v>71.27</v>
      </c>
      <c r="E39" s="179" t="n">
        <f aca="false">SQRT(D39*C39)</f>
        <v>68.9884816473011</v>
      </c>
      <c r="F39" s="1" t="n">
        <v>13</v>
      </c>
      <c r="G39" s="1" t="n">
        <v>13</v>
      </c>
      <c r="H39" s="179" t="n">
        <f aca="false">E39/F39</f>
        <v>5.30680628056162</v>
      </c>
      <c r="I39" s="179" t="n">
        <f aca="false">D39/G39</f>
        <v>5.48230769230769</v>
      </c>
      <c r="J39" s="179" t="n">
        <f aca="false">SQRT(I39*H39)</f>
        <v>5.39384323961216</v>
      </c>
      <c r="L39" s="179" t="n">
        <f aca="false">E39/E$46*70</f>
        <v>71.4140004196892</v>
      </c>
    </row>
    <row r="40" customFormat="false" ht="13" hidden="false" customHeight="false" outlineLevel="0" collapsed="false">
      <c r="A40" s="178" t="s">
        <v>969</v>
      </c>
      <c r="B40" s="178" t="s">
        <v>965</v>
      </c>
      <c r="C40" s="25" t="n">
        <v>66.2</v>
      </c>
      <c r="D40" s="25"/>
      <c r="E40" s="179" t="n">
        <f aca="false">SQRT(D40*C40)</f>
        <v>0</v>
      </c>
      <c r="F40" s="1" t="n">
        <v>13</v>
      </c>
      <c r="G40" s="1" t="n">
        <v>13</v>
      </c>
      <c r="H40" s="179"/>
      <c r="I40" s="179"/>
      <c r="J40" s="179"/>
      <c r="L40" s="179" t="n">
        <f aca="false">E40/E$46*70</f>
        <v>0</v>
      </c>
    </row>
    <row r="41" customFormat="false" ht="12.8" hidden="false" customHeight="false" outlineLevel="0" collapsed="false">
      <c r="A41" s="178"/>
      <c r="B41" s="178"/>
      <c r="C41" s="25"/>
      <c r="D41" s="25"/>
      <c r="E41" s="179"/>
      <c r="H41" s="179"/>
      <c r="I41" s="179"/>
      <c r="J41" s="179"/>
      <c r="L41" s="179"/>
    </row>
    <row r="42" customFormat="false" ht="13" hidden="false" customHeight="false" outlineLevel="0" collapsed="false">
      <c r="A42" s="178" t="s">
        <v>968</v>
      </c>
      <c r="B42" s="178" t="s">
        <v>962</v>
      </c>
      <c r="C42" s="178" t="n">
        <v>66.78</v>
      </c>
      <c r="D42" s="25" t="n">
        <v>73.54</v>
      </c>
      <c r="E42" s="179" t="n">
        <f aca="false">SQRT(D42*C42)</f>
        <v>70.0785359436112</v>
      </c>
      <c r="F42" s="1" t="n">
        <v>13</v>
      </c>
      <c r="G42" s="1" t="n">
        <v>14</v>
      </c>
      <c r="H42" s="179" t="n">
        <f aca="false">E42/F42</f>
        <v>5.39065661104701</v>
      </c>
      <c r="I42" s="179" t="n">
        <f aca="false">D42/G42</f>
        <v>5.25285714285714</v>
      </c>
      <c r="J42" s="179" t="n">
        <f aca="false">SQRT(I42*H42)</f>
        <v>5.32131084264285</v>
      </c>
      <c r="L42" s="181" t="n">
        <f aca="false">E42/E$46*70</f>
        <v>72.5423791883676</v>
      </c>
    </row>
    <row r="43" customFormat="false" ht="13" hidden="false" customHeight="false" outlineLevel="0" collapsed="false">
      <c r="A43" s="178" t="s">
        <v>969</v>
      </c>
      <c r="B43" s="178" t="s">
        <v>963</v>
      </c>
      <c r="C43" s="25" t="n">
        <v>66.2</v>
      </c>
      <c r="D43" s="25"/>
      <c r="E43" s="179" t="n">
        <f aca="false">SQRT(D43*C43)</f>
        <v>0</v>
      </c>
      <c r="F43" s="1" t="n">
        <v>13</v>
      </c>
      <c r="G43" s="1" t="n">
        <v>14</v>
      </c>
      <c r="H43" s="179"/>
      <c r="I43" s="179"/>
      <c r="J43" s="179"/>
      <c r="L43" s="179"/>
    </row>
    <row r="44" customFormat="false" ht="13" hidden="false" customHeight="false" outlineLevel="0" collapsed="false">
      <c r="A44" s="178" t="s">
        <v>966</v>
      </c>
      <c r="B44" s="178" t="s">
        <v>966</v>
      </c>
      <c r="C44" s="178" t="n">
        <v>68.12</v>
      </c>
      <c r="D44" s="178" t="n">
        <v>71.98</v>
      </c>
      <c r="E44" s="179" t="n">
        <f aca="false">SQRT(D44*C44)</f>
        <v>70.023407514916</v>
      </c>
      <c r="F44" s="1" t="n">
        <v>14</v>
      </c>
      <c r="G44" s="1" t="n">
        <v>14</v>
      </c>
      <c r="H44" s="179" t="n">
        <f aca="false">E44/F44</f>
        <v>5.00167196535115</v>
      </c>
      <c r="I44" s="179" t="n">
        <f aca="false">D44/G44</f>
        <v>5.14142857142857</v>
      </c>
      <c r="J44" s="179" t="n">
        <f aca="false">SQRT(I44*H44)</f>
        <v>5.07106883680055</v>
      </c>
      <c r="L44" s="179" t="n">
        <f aca="false">E44/E$46*70</f>
        <v>72.4853125370083</v>
      </c>
    </row>
    <row r="45" customFormat="false" ht="13" hidden="false" customHeight="false" outlineLevel="0" collapsed="false">
      <c r="A45" s="178" t="s">
        <v>971</v>
      </c>
      <c r="B45" s="178" t="s">
        <v>971</v>
      </c>
      <c r="C45" s="178" t="n">
        <v>65.56</v>
      </c>
      <c r="D45" s="178" t="n">
        <v>71.41</v>
      </c>
      <c r="E45" s="179" t="n">
        <f aca="false">SQRT(D45*C45)</f>
        <v>68.4225079926189</v>
      </c>
      <c r="F45" s="1" t="n">
        <v>12</v>
      </c>
      <c r="G45" s="1" t="n">
        <v>12</v>
      </c>
      <c r="H45" s="179" t="n">
        <f aca="false">E45/F45</f>
        <v>5.70187566605158</v>
      </c>
      <c r="I45" s="179" t="n">
        <f aca="false">D45/G45</f>
        <v>5.95083333333333</v>
      </c>
      <c r="J45" s="179" t="n">
        <f aca="false">SQRT(I45*H45)</f>
        <v>5.82502461591897</v>
      </c>
      <c r="L45" s="181" t="n">
        <f aca="false">E45/E$46*70</f>
        <v>70.8281280849473</v>
      </c>
    </row>
    <row r="46" customFormat="false" ht="13" hidden="false" customHeight="false" outlineLevel="0" collapsed="false">
      <c r="A46" s="178" t="s">
        <v>932</v>
      </c>
      <c r="B46" s="178" t="s">
        <v>932</v>
      </c>
      <c r="C46" s="1" t="n">
        <v>65.01</v>
      </c>
      <c r="D46" s="1" t="n">
        <v>70.34</v>
      </c>
      <c r="E46" s="179" t="n">
        <f aca="false">SQRT(D46*C46)</f>
        <v>67.6225066083771</v>
      </c>
      <c r="F46" s="1" t="n">
        <v>17</v>
      </c>
      <c r="G46" s="1" t="n">
        <v>17</v>
      </c>
      <c r="H46" s="179" t="n">
        <f aca="false">E46/F46</f>
        <v>3.97779450637512</v>
      </c>
      <c r="I46" s="179" t="n">
        <f aca="false">D46/G46</f>
        <v>4.13764705882353</v>
      </c>
      <c r="J46" s="179" t="n">
        <f aca="false">SQRT(I46*H46)</f>
        <v>4.05693353900547</v>
      </c>
      <c r="L46" s="179" t="n">
        <f aca="false">E46/E$46*70</f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1" sqref="AS19:CI24 B22"/>
    </sheetView>
  </sheetViews>
  <sheetFormatPr defaultColWidth="11.53515625" defaultRowHeight="12.8" customHeight="true" zeroHeight="false" outlineLevelRow="0" outlineLevelCol="0"/>
  <sheetData>
    <row r="1" customFormat="false" ht="13" hidden="false" customHeight="false" outlineLevel="0" collapsed="false">
      <c r="A1" s="129" t="s">
        <v>962</v>
      </c>
      <c r="B1" s="129" t="n">
        <v>58.76</v>
      </c>
      <c r="C1" s="129" t="n">
        <v>68.43</v>
      </c>
      <c r="D1" s="129" t="n">
        <v>68.31</v>
      </c>
      <c r="E1" s="25"/>
    </row>
    <row r="2" customFormat="false" ht="13" hidden="false" customHeight="false" outlineLevel="0" collapsed="false">
      <c r="A2" s="129" t="s">
        <v>963</v>
      </c>
      <c r="B2" s="129" t="n">
        <v>59.76</v>
      </c>
      <c r="C2" s="129" t="n">
        <v>69.26</v>
      </c>
      <c r="D2" s="129" t="n">
        <v>69.71</v>
      </c>
      <c r="E2" s="25"/>
    </row>
    <row r="3" customFormat="false" ht="13" hidden="false" customHeight="false" outlineLevel="0" collapsed="false">
      <c r="A3" s="129" t="s">
        <v>964</v>
      </c>
      <c r="B3" s="129" t="n">
        <v>59.02</v>
      </c>
      <c r="C3" s="129" t="n">
        <v>66.8</v>
      </c>
      <c r="D3" s="129" t="n">
        <v>66.33</v>
      </c>
      <c r="E3" s="25"/>
    </row>
    <row r="4" customFormat="false" ht="13" hidden="false" customHeight="false" outlineLevel="0" collapsed="false">
      <c r="A4" s="129" t="s">
        <v>965</v>
      </c>
      <c r="B4" s="129" t="n">
        <v>59.36</v>
      </c>
      <c r="C4" s="129" t="n">
        <v>67.37</v>
      </c>
      <c r="D4" s="129" t="n">
        <v>67.22</v>
      </c>
      <c r="E4" s="129"/>
    </row>
    <row r="5" customFormat="false" ht="13" hidden="false" customHeight="false" outlineLevel="0" collapsed="false">
      <c r="A5" s="157" t="s">
        <v>966</v>
      </c>
      <c r="B5" s="129" t="n">
        <v>64.4</v>
      </c>
      <c r="C5" s="129" t="n">
        <v>71.75</v>
      </c>
      <c r="D5" s="129" t="n">
        <v>72.38</v>
      </c>
      <c r="E5" s="129"/>
    </row>
    <row r="6" customFormat="false" ht="13" hidden="false" customHeight="false" outlineLevel="0" collapsed="false">
      <c r="A6" s="157" t="s">
        <v>967</v>
      </c>
      <c r="B6" s="129" t="n">
        <v>62.58</v>
      </c>
      <c r="C6" s="129" t="n">
        <v>70.97</v>
      </c>
      <c r="D6" s="129" t="n">
        <v>71.49</v>
      </c>
      <c r="E6" s="129"/>
    </row>
    <row r="7" customFormat="false" ht="13" hidden="false" customHeight="false" outlineLevel="0" collapsed="false">
      <c r="A7" s="157" t="s">
        <v>968</v>
      </c>
      <c r="B7" s="129" t="n">
        <v>63.76</v>
      </c>
      <c r="C7" s="129" t="n">
        <v>69.81</v>
      </c>
      <c r="D7" s="129" t="n">
        <v>70.07</v>
      </c>
    </row>
    <row r="8" customFormat="false" ht="13" hidden="false" customHeight="false" outlineLevel="0" collapsed="false">
      <c r="A8" s="157" t="s">
        <v>969</v>
      </c>
      <c r="B8" s="129" t="n">
        <v>62.65</v>
      </c>
      <c r="C8" s="129" t="n">
        <v>69.83</v>
      </c>
      <c r="D8" s="129" t="n">
        <v>70.07</v>
      </c>
    </row>
    <row r="9" customFormat="false" ht="13" hidden="false" customHeight="false" outlineLevel="0" collapsed="false">
      <c r="A9" s="157" t="s">
        <v>970</v>
      </c>
      <c r="B9" s="129" t="n">
        <v>62.76</v>
      </c>
      <c r="C9" s="129" t="n">
        <v>69.01</v>
      </c>
      <c r="D9" s="129" t="n">
        <v>68.8</v>
      </c>
    </row>
    <row r="10" customFormat="false" ht="13" hidden="false" customHeight="false" outlineLevel="0" collapsed="false">
      <c r="A10" s="157" t="s">
        <v>971</v>
      </c>
      <c r="B10" s="129" t="n">
        <v>62.25</v>
      </c>
      <c r="C10" s="129" t="n">
        <v>69.11</v>
      </c>
      <c r="D10" s="129" t="n">
        <v>68.99</v>
      </c>
    </row>
    <row r="12" customFormat="false" ht="13" hidden="false" customHeight="false" outlineLevel="0" collapsed="false">
      <c r="A12" s="129" t="n">
        <v>15</v>
      </c>
      <c r="B12" s="129" t="n">
        <v>64.28</v>
      </c>
    </row>
    <row r="13" customFormat="false" ht="13" hidden="false" customHeight="false" outlineLevel="0" collapsed="false">
      <c r="A13" s="129" t="n">
        <v>14</v>
      </c>
      <c r="B13" s="129" t="n">
        <v>63.68</v>
      </c>
    </row>
    <row r="14" customFormat="false" ht="13" hidden="false" customHeight="false" outlineLevel="0" collapsed="false">
      <c r="A14" s="129" t="n">
        <v>13</v>
      </c>
      <c r="B14" s="129" t="n">
        <v>63.04</v>
      </c>
    </row>
    <row r="15" customFormat="false" ht="13" hidden="false" customHeight="false" outlineLevel="0" collapsed="false">
      <c r="A15" s="129" t="n">
        <v>12</v>
      </c>
      <c r="B15" s="129" t="n">
        <v>62.04</v>
      </c>
    </row>
    <row r="16" customFormat="false" ht="13" hidden="false" customHeight="false" outlineLevel="0" collapsed="false">
      <c r="A16" s="129" t="n">
        <v>11</v>
      </c>
      <c r="B16" s="129" t="n">
        <v>61.75</v>
      </c>
    </row>
    <row r="17" customFormat="false" ht="13" hidden="false" customHeight="false" outlineLevel="0" collapsed="false">
      <c r="A17" s="129" t="n">
        <v>9</v>
      </c>
      <c r="B17" s="129" t="n">
        <v>55.49</v>
      </c>
    </row>
    <row r="18" customFormat="false" ht="13" hidden="false" customHeight="false" outlineLevel="0" collapsed="false">
      <c r="A18" s="129" t="n">
        <v>6</v>
      </c>
      <c r="B18" s="129" t="n">
        <v>51.53</v>
      </c>
    </row>
    <row r="19" customFormat="false" ht="13" hidden="false" customHeight="false" outlineLevel="0" collapsed="false">
      <c r="A19" s="129" t="n">
        <v>0</v>
      </c>
      <c r="B19" s="129" t="n">
        <v>36.12</v>
      </c>
    </row>
    <row r="20" customFormat="false" ht="12.8" hidden="false" customHeight="false" outlineLevel="0" collapsed="false">
      <c r="A20" s="129"/>
      <c r="B20" s="129"/>
    </row>
    <row r="22" customFormat="false" ht="12.8" hidden="false" customHeight="false" outlineLevel="0" collapsed="false">
      <c r="A22" s="129"/>
      <c r="B22" s="129"/>
    </row>
    <row r="23" customFormat="false" ht="12.8" hidden="false" customHeight="false" outlineLevel="0" collapsed="false">
      <c r="A23" s="129"/>
      <c r="B23" s="129"/>
    </row>
    <row r="29" customFormat="false" ht="12.8" hidden="false" customHeight="false" outlineLevel="0" collapsed="false">
      <c r="A29" s="129"/>
      <c r="B29" s="129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83538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2024-03-23T08:40:42Z</dcterms:created>
  <dc:creator/>
  <dc:description/>
  <dc:language>ja-JP</dc:language>
  <cp:lastModifiedBy/>
  <dcterms:modified xsi:type="dcterms:W3CDTF">2026-09-26T17:44:50Z</dcterms:modified>
  <cp:revision>463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